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kank\Downloads\cisco-github\"/>
    </mc:Choice>
  </mc:AlternateContent>
  <xr:revisionPtr revIDLastSave="0" documentId="13_ncr:1_{112AA8E8-45CB-40A7-AD5F-50EE2B271228}" xr6:coauthVersionLast="47" xr6:coauthVersionMax="47" xr10:uidLastSave="{00000000-0000-0000-0000-000000000000}"/>
  <bookViews>
    <workbookView xWindow="-110" yWindow="-110" windowWidth="19420" windowHeight="12220" tabRatio="803" firstSheet="1" activeTab="4" xr2:uid="{00000000-000D-0000-FFFF-FFFF00000000}"/>
  </bookViews>
  <sheets>
    <sheet name="VLAN Summary" sheetId="1" r:id="rId1"/>
    <sheet name="VLAN 10 - End Devices" sheetId="2" r:id="rId2"/>
    <sheet name="VLAN 20 - Servers" sheetId="3" r:id="rId3"/>
    <sheet name="VLAN 30 - Security" sheetId="4" r:id="rId4"/>
    <sheet name="VLAN 99 - Management" sheetId="5" r:id="rId5"/>
    <sheet name="VLAN 100 - FW-NAT" sheetId="6" r:id="rId6"/>
  </sheets>
  <definedNames>
    <definedName name="_xlnm._FilterDatabase" localSheetId="1" hidden="1">'VLAN 10 - End Devices'!$A$5:$A$20</definedName>
    <definedName name="_xlnm._FilterDatabase" localSheetId="2" hidden="1">'VLAN 20 - Servers'!$A$4:$N$23</definedName>
    <definedName name="_xlnm._FilterDatabase" localSheetId="3" hidden="1">'VLAN 30 - Security'!$A$4:$N$19</definedName>
    <definedName name="_xlnm._FilterDatabase" localSheetId="4" hidden="1">'VLAN 99 - Management'!$A$4:$N$36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9" i="1" l="1"/>
  <c r="Q8" i="1"/>
  <c r="Q7" i="1"/>
  <c r="Q6" i="1"/>
  <c r="Q5" i="1"/>
</calcChain>
</file>

<file path=xl/sharedStrings.xml><?xml version="1.0" encoding="utf-8"?>
<sst xmlns="http://schemas.openxmlformats.org/spreadsheetml/2006/main" count="731" uniqueCount="312">
  <si>
    <t>Network Addressing Plan - VLAN Summary</t>
  </si>
  <si>
    <t>Yellow = fill in manually. Every addressing cell is empty on purpose.</t>
  </si>
  <si>
    <t>VLAN ID</t>
  </si>
  <si>
    <t>VLAN Name</t>
  </si>
  <si>
    <t>Purpose</t>
  </si>
  <si>
    <t>Network Address</t>
  </si>
  <si>
    <t>Prefix (/n)</t>
  </si>
  <si>
    <t>Subnet Mask</t>
  </si>
  <si>
    <t>Wildcard Mask</t>
  </si>
  <si>
    <t>Default Gateway (HSRP VIP)</t>
  </si>
  <si>
    <t>DIST-01 SVI IP</t>
  </si>
  <si>
    <t>DIST-02 SVI IP</t>
  </si>
  <si>
    <t>First Usable</t>
  </si>
  <si>
    <t>Last Usable</t>
  </si>
  <si>
    <t>Broadcast</t>
  </si>
  <si>
    <t>Usable Hosts</t>
  </si>
  <si>
    <t>DHCP Range / Assignment</t>
  </si>
  <si>
    <t>DNS Server</t>
  </si>
  <si>
    <t>Entries Listed on VLAN Tab</t>
  </si>
  <si>
    <t>Notes</t>
  </si>
  <si>
    <t>End Devices</t>
  </si>
  <si>
    <t>PCs, laptops, printers, AP, phones, tablets</t>
  </si>
  <si>
    <t>Gateway on DIST-01/02 via HSRP (suggested: DIST-01 priority 110 active, DIST-02 100 standby).</t>
  </si>
  <si>
    <t>Servers</t>
  </si>
  <si>
    <t>Server0 - Server5</t>
  </si>
  <si>
    <t>Same HSRP pair.</t>
  </si>
  <si>
    <t>Security</t>
  </si>
  <si>
    <t>IDS/IPS, SIEM, cameras, access control</t>
  </si>
  <si>
    <t>No security devices are drawn in the diagram - add them as needed.</t>
  </si>
  <si>
    <t>Management</t>
  </si>
  <si>
    <t>Switch / AP management (SSH, SNMP, syslog)</t>
  </si>
  <si>
    <t>Switch management SVIs. Restrict access with ACL / SSH only.</t>
  </si>
  <si>
    <t>Firewall-NAT</t>
  </si>
  <si>
    <t>Core &lt;-&gt; Firewall transit, NAT edge</t>
  </si>
  <si>
    <t>Transit VLAN to firewall pair (not drawn in diagram).</t>
  </si>
  <si>
    <t>Assumptions</t>
  </si>
  <si>
    <t>1. All IP, mask, gateway, DHCP and DNS cells are blank for you to fill in.</t>
  </si>
  <si>
    <t>2. DIST-01 / DIST-02 are assumed to be the L3 gateways (HSRP); SSW and Switch6-15 are treated as L2 with a VLAN 99 management IP only.</t>
  </si>
  <si>
    <t>3. Device-to-switch attachments are read from the diagram and ports (Fa0/x) are proposed - verify them.</t>
  </si>
  <si>
    <t>4. The firewall pair and VLAN 30 devices are not in the diagram.</t>
  </si>
  <si>
    <t>VLAN 10 - End Devices</t>
  </si>
  <si>
    <t>VLAN 10 - End Devices - fill in the yellow cells (IP, mask, gateway) manually.</t>
  </si>
  <si>
    <t>Shaded rows = gateway / infrastructure addresses. Blue = typed IPs, green = linked from VLAN Summary, yellow = fill in.</t>
  </si>
  <si>
    <t>No.</t>
  </si>
  <si>
    <t>Device Name</t>
  </si>
  <si>
    <t>Device Type</t>
  </si>
  <si>
    <t>Connected To (Switch)</t>
  </si>
  <si>
    <t>Switch Port</t>
  </si>
  <si>
    <t>IP Address</t>
  </si>
  <si>
    <t>IP / Prefix</t>
  </si>
  <si>
    <t>Default Gateway</t>
  </si>
  <si>
    <t>Assignment</t>
  </si>
  <si>
    <t>MAC Address</t>
  </si>
  <si>
    <t>HSRP Virtual Gateway</t>
  </si>
  <si>
    <t>Gateway (HSRP VIP)</t>
  </si>
  <si>
    <t>DIST-01 / DIST-02</t>
  </si>
  <si>
    <t>SVI Vlan10</t>
  </si>
  <si>
    <t>Static (virtual)</t>
  </si>
  <si>
    <t>Default gateway for all hosts in this VLAN</t>
  </si>
  <si>
    <t>DIST-01 SVI</t>
  </si>
  <si>
    <t>L3 Switch (3560-24PS)</t>
  </si>
  <si>
    <t>DIST-01</t>
  </si>
  <si>
    <t>Static</t>
  </si>
  <si>
    <t>HSRP Active, priority 110</t>
  </si>
  <si>
    <t>DIST-02 SVI</t>
  </si>
  <si>
    <t>DIST-02</t>
  </si>
  <si>
    <t>HSRP Standby, priority 100</t>
  </si>
  <si>
    <t>PC0</t>
  </si>
  <si>
    <t>PC</t>
  </si>
  <si>
    <t>Switch6</t>
  </si>
  <si>
    <t>Printer0</t>
  </si>
  <si>
    <t>Printer</t>
  </si>
  <si>
    <t>Fa0/3</t>
  </si>
  <si>
    <t>Laptop0</t>
  </si>
  <si>
    <t>Laptop</t>
  </si>
  <si>
    <t>Switch7</t>
  </si>
  <si>
    <t>Laptop1</t>
  </si>
  <si>
    <t>PC1</t>
  </si>
  <si>
    <t>Switch9</t>
  </si>
  <si>
    <t>PC2</t>
  </si>
  <si>
    <t>Laptop2</t>
  </si>
  <si>
    <t>Switch10</t>
  </si>
  <si>
    <t>Laptop3</t>
  </si>
  <si>
    <t>Laptop4</t>
  </si>
  <si>
    <t>Access Point0</t>
  </si>
  <si>
    <t>Wireless Access Point</t>
  </si>
  <si>
    <t>Fa0/4</t>
  </si>
  <si>
    <t>PC3</t>
  </si>
  <si>
    <t>Switch13</t>
  </si>
  <si>
    <t>PC4</t>
  </si>
  <si>
    <t>Switch11</t>
  </si>
  <si>
    <t>Printer1</t>
  </si>
  <si>
    <t>PC5</t>
  </si>
  <si>
    <t>Switch14</t>
  </si>
  <si>
    <t>Laptop5</t>
  </si>
  <si>
    <t>Laptop6</t>
  </si>
  <si>
    <t>Switch15</t>
  </si>
  <si>
    <t>Printer2</t>
  </si>
  <si>
    <t>PC7</t>
  </si>
  <si>
    <t>Switch12</t>
  </si>
  <si>
    <t>Laptop7</t>
  </si>
  <si>
    <t>Printer3</t>
  </si>
  <si>
    <t>Smartphone0</t>
  </si>
  <si>
    <t>Smartphone</t>
  </si>
  <si>
    <t>Access Point0 (wireless)</t>
  </si>
  <si>
    <t>WLAN</t>
  </si>
  <si>
    <t>Tablet PC0</t>
  </si>
  <si>
    <t>Tablet</t>
  </si>
  <si>
    <t>VLAN 20 - Servers</t>
  </si>
  <si>
    <t>VLAN 20 - Servers - fill in the yellow cells (IP, mask, gateway) manually.</t>
  </si>
  <si>
    <t>SVI Vlan20</t>
  </si>
  <si>
    <t>Server0</t>
  </si>
  <si>
    <t>Server</t>
  </si>
  <si>
    <t>Server1</t>
  </si>
  <si>
    <t>Switch8</t>
  </si>
  <si>
    <t>Server2</t>
  </si>
  <si>
    <t>Server3</t>
  </si>
  <si>
    <t>Server4</t>
  </si>
  <si>
    <t>Server5</t>
  </si>
  <si>
    <t>VLAN 30 - Security</t>
  </si>
  <si>
    <t>VLAN 30 - Security - fill in the yellow cells (IP, mask, gateway) manually.</t>
  </si>
  <si>
    <t>SVI Vlan30</t>
  </si>
  <si>
    <t>VLAN 99 - Management</t>
  </si>
  <si>
    <t>VLAN 99 - Management - fill in the yellow cells (IP, mask, gateway) manually.</t>
  </si>
  <si>
    <t>Management IP of every switch. Blue = typed IPs, green = linked from VLAN Summary, yellow = fill in.</t>
  </si>
  <si>
    <t>Hostname</t>
  </si>
  <si>
    <t>Model</t>
  </si>
  <si>
    <t>Role</t>
  </si>
  <si>
    <t>Mgmt IP Address</t>
  </si>
  <si>
    <t>Primary Uplink</t>
  </si>
  <si>
    <t>Secondary / Redundant Link</t>
  </si>
  <si>
    <t>Access Method</t>
  </si>
  <si>
    <t>-</t>
  </si>
  <si>
    <t>Gateway</t>
  </si>
  <si>
    <t>Default gateway for VLAN 99</t>
  </si>
  <si>
    <t>CORE-1</t>
  </si>
  <si>
    <t>L3 Switch</t>
  </si>
  <si>
    <t>3560-24PS</t>
  </si>
  <si>
    <t>Core</t>
  </si>
  <si>
    <t>CORE-2</t>
  </si>
  <si>
    <t>SSH v2</t>
  </si>
  <si>
    <t>Distribution</t>
  </si>
  <si>
    <t>SSW-01, SSW-05</t>
  </si>
  <si>
    <t>SVI Vlan99, HSRP active</t>
  </si>
  <si>
    <t>SSW-02, SSW-06</t>
  </si>
  <si>
    <t>SVI Vlan99, HSRP standby</t>
  </si>
  <si>
    <t>SSW-01</t>
  </si>
  <si>
    <t>Multilayer Switch</t>
  </si>
  <si>
    <t>Aggregation</t>
  </si>
  <si>
    <t>SSW-02, SSW-03</t>
  </si>
  <si>
    <t>SSW-02</t>
  </si>
  <si>
    <t>SSW-01, SSW-04</t>
  </si>
  <si>
    <t>SSW-03</t>
  </si>
  <si>
    <t>SSW-04</t>
  </si>
  <si>
    <t>SSW-05</t>
  </si>
  <si>
    <t>SSW-06, SSW-07</t>
  </si>
  <si>
    <t>SSW-06</t>
  </si>
  <si>
    <t>SSW-05, SSW-08</t>
  </si>
  <si>
    <t>SSW-07</t>
  </si>
  <si>
    <t>SSW-08</t>
  </si>
  <si>
    <t>L2 Switch</t>
  </si>
  <si>
    <t>2960-24TT</t>
  </si>
  <si>
    <t>Access</t>
  </si>
  <si>
    <t>Wireless AP</t>
  </si>
  <si>
    <t>AccessPoint-PT</t>
  </si>
  <si>
    <t>Wireless access</t>
  </si>
  <si>
    <t>Optional: manage AP on VLAN 99; clients stay on VLAN 10</t>
  </si>
  <si>
    <t>VLAN 100 - Firewall / NAT</t>
  </si>
  <si>
    <t>VLAN 100 - FW-NAT - fill in the yellow cells (IP, mask, gateway) manually.</t>
  </si>
  <si>
    <t>Firewall Virtual IP (gateway)</t>
  </si>
  <si>
    <t>Gateway (Firewall VIP)</t>
  </si>
  <si>
    <t>FW-01 / FW-02</t>
  </si>
  <si>
    <t>Inside interface</t>
  </si>
  <si>
    <t>Default route target for CORE-1/2. Firewall not drawn in diagram.</t>
  </si>
  <si>
    <t>FW-01 inside</t>
  </si>
  <si>
    <t>Firewall</t>
  </si>
  <si>
    <t>Primary firewall (active)</t>
  </si>
  <si>
    <t>FW-02 inside</t>
  </si>
  <si>
    <t>Secondary firewall (standby)</t>
  </si>
  <si>
    <t>CORE-1 uplink to FW</t>
  </si>
  <si>
    <t>SVI Vlan100</t>
  </si>
  <si>
    <t>Routed interface toward firewall</t>
  </si>
  <si>
    <t>CORE-2 uplink to FW</t>
  </si>
  <si>
    <t>NAT Plan</t>
  </si>
  <si>
    <t>Rule Name</t>
  </si>
  <si>
    <t>NAT Type</t>
  </si>
  <si>
    <t>Inside Network (VLAN)</t>
  </si>
  <si>
    <t>Inside Local Subnet</t>
  </si>
  <si>
    <t>Outside Interface</t>
  </si>
  <si>
    <t>Inside Global (Public) IP</t>
  </si>
  <si>
    <t>Translated Port / Pool</t>
  </si>
  <si>
    <t>PAT-VLAN10</t>
  </si>
  <si>
    <t>PAT (overload)</t>
  </si>
  <si>
    <t>FW outside (to ISP)</t>
  </si>
  <si>
    <t>Interface overload</t>
  </si>
  <si>
    <t>Internet access for users</t>
  </si>
  <si>
    <t>PAT-VLAN20</t>
  </si>
  <si>
    <t>Outbound updates only</t>
  </si>
  <si>
    <t>PAT-VLAN99</t>
  </si>
  <si>
    <t>Optional - for NTP / updates</t>
  </si>
  <si>
    <t>PAT-VLAN30</t>
  </si>
  <si>
    <t>Optional - for threat feeds</t>
  </si>
  <si>
    <t>STATIC-Server0</t>
  </si>
  <si>
    <t>Static NAT</t>
  </si>
  <si>
    <t>1:1</t>
  </si>
  <si>
    <t>Only if Server0 is published externally</t>
  </si>
  <si>
    <t>Fill the yellow cells with the public IP(s) from your ISP. Firewall interface names/IPs are assumptions - the firewall is not in the diagram.</t>
  </si>
  <si>
    <t>192.168.10.10</t>
  </si>
  <si>
    <t>255.255.255.0</t>
  </si>
  <si>
    <t>192.168.10.10/24</t>
  </si>
  <si>
    <t>0050.0F06.73CD</t>
  </si>
  <si>
    <t>192.168.10.11</t>
  </si>
  <si>
    <t>192.168.10.12</t>
  </si>
  <si>
    <t>192.168.10.16</t>
  </si>
  <si>
    <t>192.168.10.19</t>
  </si>
  <si>
    <t>192.168.10.21</t>
  </si>
  <si>
    <t>192.168.10.23</t>
  </si>
  <si>
    <t>192.168.10.24</t>
  </si>
  <si>
    <t>192.168.10.25</t>
  </si>
  <si>
    <t>192.168.10.26</t>
  </si>
  <si>
    <t>192.168.10.28</t>
  </si>
  <si>
    <t>192.168.10.30</t>
  </si>
  <si>
    <t>192.168.10.31</t>
  </si>
  <si>
    <t>192.168.10.11/24</t>
  </si>
  <si>
    <t>192.168.10.12/24</t>
  </si>
  <si>
    <t>192.168.10.1</t>
  </si>
  <si>
    <t xml:space="preserve">switch6 </t>
  </si>
  <si>
    <t>fa0/5</t>
  </si>
  <si>
    <t>192.169.30.10</t>
  </si>
  <si>
    <t>192.168.30.10/24</t>
  </si>
  <si>
    <t>192.168.30.1</t>
  </si>
  <si>
    <t>192.169.30.11</t>
  </si>
  <si>
    <t>192.169.30.12</t>
  </si>
  <si>
    <t>192.169.30.13</t>
  </si>
  <si>
    <t>192.169.30.14</t>
  </si>
  <si>
    <t>00E0.A3D1.899E</t>
  </si>
  <si>
    <t>0001.97D2.2995</t>
  </si>
  <si>
    <t>192.168.30.11/24</t>
  </si>
  <si>
    <t>192.168.30.12/24</t>
  </si>
  <si>
    <t>192.168.30.13/24</t>
  </si>
  <si>
    <t>192.168.30.14/24</t>
  </si>
  <si>
    <t>192.168.20.10</t>
  </si>
  <si>
    <t>192.168.20.11</t>
  </si>
  <si>
    <t>192.168.20.12</t>
  </si>
  <si>
    <t>192.168.20.13</t>
  </si>
  <si>
    <t>192.168.20.14</t>
  </si>
  <si>
    <t>192.168.20.15</t>
  </si>
  <si>
    <t>192.168.20.1</t>
  </si>
  <si>
    <t>0002.160E.B466</t>
  </si>
  <si>
    <t>0009.7C0C.09BA</t>
  </si>
  <si>
    <t>0009.7C92.25B4</t>
  </si>
  <si>
    <t>0001.964A.CB89</t>
  </si>
  <si>
    <t>00D0.9767.A7BA</t>
  </si>
  <si>
    <t>0001.43CE.5C77</t>
  </si>
  <si>
    <t xml:space="preserve">done </t>
  </si>
  <si>
    <t>0060.4798.3C86</t>
  </si>
  <si>
    <t>0001.C99B.26C5</t>
  </si>
  <si>
    <t>0030.A346.1530</t>
  </si>
  <si>
    <t>Fa0/5</t>
  </si>
  <si>
    <t>0007.ECE3.D0C7</t>
  </si>
  <si>
    <t>0006.2A18.5BBC</t>
  </si>
  <si>
    <t xml:space="preserve">no ip </t>
  </si>
  <si>
    <t>000C.CFE3.C7CA</t>
  </si>
  <si>
    <t>0090.0CE9.757D</t>
  </si>
  <si>
    <t>192.169.30.15</t>
  </si>
  <si>
    <t>192.169.30.16</t>
  </si>
  <si>
    <t>192.168.30.15/25</t>
  </si>
  <si>
    <t>192.168.30.16/26</t>
  </si>
  <si>
    <t>0001.645E.62B6</t>
  </si>
  <si>
    <t>00E0.B095.E24C</t>
  </si>
  <si>
    <t>192.168.20.16</t>
  </si>
  <si>
    <t>00E0.A315.325B</t>
  </si>
  <si>
    <t>192.169.30.17</t>
  </si>
  <si>
    <t>0001.C771.5826</t>
  </si>
  <si>
    <t>192.168.30.17/27</t>
  </si>
  <si>
    <t>0001.6418.EE33</t>
  </si>
  <si>
    <t>0060.2FC0.4A51</t>
  </si>
  <si>
    <t>000A.4147.8CB3</t>
  </si>
  <si>
    <t>0060.4773.30D4</t>
  </si>
  <si>
    <t>0001.63E4.DBAA</t>
  </si>
  <si>
    <t>192.168.20.10/24</t>
  </si>
  <si>
    <t>192.168.20.11/24</t>
  </si>
  <si>
    <t>000D.BDB3.26EA</t>
  </si>
  <si>
    <t>0090.21B1.4B9C</t>
  </si>
  <si>
    <t>192.168.99.1</t>
  </si>
  <si>
    <t>192.168.99.2</t>
  </si>
  <si>
    <t>192.168.99.11</t>
  </si>
  <si>
    <t>192.168.99.12</t>
  </si>
  <si>
    <t>192.168.99.21</t>
  </si>
  <si>
    <t>192.168.99.22</t>
  </si>
  <si>
    <t>192.168.99.23</t>
  </si>
  <si>
    <t>192.168.99.24</t>
  </si>
  <si>
    <t>192.168.99.25</t>
  </si>
  <si>
    <t>192.168.99.26</t>
  </si>
  <si>
    <t>192.168.99.27</t>
  </si>
  <si>
    <t>192.168.99.28</t>
  </si>
  <si>
    <t>192.168.99.31</t>
  </si>
  <si>
    <t>192.168.99.32</t>
  </si>
  <si>
    <t>192.168.99.33</t>
  </si>
  <si>
    <t>192.168.99.34</t>
  </si>
  <si>
    <t>192.168.99.35</t>
  </si>
  <si>
    <t>192.168.99.36</t>
  </si>
  <si>
    <t>192.168.99.37</t>
  </si>
  <si>
    <t>192.168.99.38</t>
  </si>
  <si>
    <t>192.168.99.39</t>
  </si>
  <si>
    <t>192.168.99.40</t>
  </si>
  <si>
    <t>NO IP, BUT BOTH THE DEVICES CONNECTED ARE ON VLAN 10</t>
  </si>
  <si>
    <t>Admin PC</t>
  </si>
  <si>
    <t>192.168.99.50</t>
  </si>
  <si>
    <t xml:space="preserve">Switch 14 </t>
  </si>
  <si>
    <t>ADMIN PC - for vlan 99 MNGT.</t>
  </si>
  <si>
    <t>End-Device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</si>
</sst>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8"/>
      <name val="Calibri"/>
      <family val="2"/>
      <charset val="1"/>
    </font>
    <font>
      <sz val="10"/>
      <name val="Arial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  <fill>
      <patternFill patternType="solid">
        <fgColor rgb="FFE7EE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CC"/>
      </patternFill>
    </fill>
    <fill>
      <patternFill patternType="solid">
        <fgColor rgb="FFFF00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C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0" borderId="0" xfId="0" applyFont="1"/>
    <xf numFmtId="0" fontId="5" fillId="0" borderId="0" xfId="0" applyFont="1"/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0" fillId="7" borderId="0" xfId="0" applyFill="1"/>
    <xf numFmtId="0" fontId="5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FCC"/>
      <rgbColor rgb="FFE7EE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548235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zoomScale="92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9" sqref="D9"/>
    </sheetView>
  </sheetViews>
  <sheetFormatPr defaultColWidth="8.6328125" defaultRowHeight="14.5" x14ac:dyDescent="0.35"/>
  <cols>
    <col min="1" max="1" width="8" customWidth="1"/>
    <col min="2" max="2" width="15" customWidth="1"/>
    <col min="3" max="3" width="34" customWidth="1"/>
    <col min="4" max="4" width="16" customWidth="1"/>
    <col min="5" max="5" width="10" customWidth="1"/>
    <col min="6" max="6" width="16" customWidth="1"/>
    <col min="7" max="7" width="15" customWidth="1"/>
    <col min="8" max="8" width="18" customWidth="1"/>
    <col min="9" max="10" width="15" customWidth="1"/>
    <col min="11" max="12" width="14" customWidth="1"/>
    <col min="13" max="13" width="15" customWidth="1"/>
    <col min="14" max="14" width="10" customWidth="1"/>
    <col min="15" max="15" width="34" customWidth="1"/>
    <col min="16" max="16" width="15" customWidth="1"/>
    <col min="17" max="17" width="14" customWidth="1"/>
    <col min="18" max="18" width="55" customWidth="1"/>
  </cols>
  <sheetData>
    <row r="1" spans="1:18" ht="17.25" customHeight="1" x14ac:dyDescent="0.4">
      <c r="A1" s="1" t="s">
        <v>0</v>
      </c>
    </row>
    <row r="2" spans="1:18" ht="15" customHeight="1" x14ac:dyDescent="0.35">
      <c r="A2" s="2" t="s">
        <v>1</v>
      </c>
    </row>
    <row r="4" spans="1:18" ht="31.5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 ht="42" customHeight="1" x14ac:dyDescent="0.35">
      <c r="A5" s="4">
        <v>10</v>
      </c>
      <c r="B5" s="5" t="s">
        <v>20</v>
      </c>
      <c r="C5" s="6" t="s">
        <v>21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  <c r="P5" s="7"/>
      <c r="Q5" s="5">
        <f>COUNTA('VLAN 10 - End Devices'!B5:B71)</f>
        <v>16</v>
      </c>
      <c r="R5" s="6" t="s">
        <v>22</v>
      </c>
    </row>
    <row r="6" spans="1:18" ht="42" customHeight="1" x14ac:dyDescent="0.35">
      <c r="A6" s="4">
        <v>20</v>
      </c>
      <c r="B6" s="5" t="s">
        <v>23</v>
      </c>
      <c r="C6" s="6" t="s">
        <v>24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7"/>
      <c r="Q6" s="5">
        <f>COUNTA('VLAN 20 - Servers'!B5:B80)</f>
        <v>10</v>
      </c>
      <c r="R6" s="6" t="s">
        <v>25</v>
      </c>
    </row>
    <row r="7" spans="1:18" ht="42" customHeight="1" x14ac:dyDescent="0.35">
      <c r="A7" s="4">
        <v>30</v>
      </c>
      <c r="B7" s="5" t="s">
        <v>26</v>
      </c>
      <c r="C7" s="6" t="s">
        <v>27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8"/>
      <c r="P7" s="7"/>
      <c r="Q7" s="5">
        <f>COUNTA('VLAN 30 - Security'!B5:B80)</f>
        <v>11</v>
      </c>
      <c r="R7" s="6" t="s">
        <v>28</v>
      </c>
    </row>
    <row r="8" spans="1:18" ht="42" customHeight="1" x14ac:dyDescent="0.35">
      <c r="A8" s="4">
        <v>99</v>
      </c>
      <c r="B8" s="5" t="s">
        <v>29</v>
      </c>
      <c r="C8" s="6" t="s">
        <v>30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  <c r="P8" s="7"/>
      <c r="Q8" s="5">
        <f>COUNTA('VLAN 99 - Management'!B5:B80)</f>
        <v>25</v>
      </c>
      <c r="R8" s="6" t="s">
        <v>31</v>
      </c>
    </row>
    <row r="9" spans="1:18" ht="42" customHeight="1" x14ac:dyDescent="0.35">
      <c r="A9" s="4">
        <v>100</v>
      </c>
      <c r="B9" s="5" t="s">
        <v>32</v>
      </c>
      <c r="C9" s="6" t="s">
        <v>33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7"/>
      <c r="Q9" s="5">
        <f>COUNTA('VLAN 100 - FW-NAT'!B5:B80)</f>
        <v>11</v>
      </c>
      <c r="R9" s="6" t="s">
        <v>34</v>
      </c>
    </row>
    <row r="11" spans="1:18" ht="15" customHeight="1" x14ac:dyDescent="0.35">
      <c r="A11" s="9" t="s">
        <v>35</v>
      </c>
    </row>
    <row r="12" spans="1:18" ht="15" customHeight="1" x14ac:dyDescent="0.35">
      <c r="A12" s="10" t="s">
        <v>36</v>
      </c>
    </row>
    <row r="13" spans="1:18" ht="15" customHeight="1" x14ac:dyDescent="0.35">
      <c r="A13" s="10" t="s">
        <v>37</v>
      </c>
    </row>
    <row r="14" spans="1:18" ht="15" customHeight="1" x14ac:dyDescent="0.35">
      <c r="A14" s="10" t="s">
        <v>38</v>
      </c>
    </row>
    <row r="15" spans="1:18" ht="15" customHeight="1" x14ac:dyDescent="0.35">
      <c r="A15" s="10" t="s">
        <v>39</v>
      </c>
    </row>
    <row r="16" spans="1:18" ht="15" customHeight="1" x14ac:dyDescent="0.35">
      <c r="A16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N30"/>
  <sheetViews>
    <sheetView zoomScale="94" zoomScaleNormal="100" workbookViewId="0">
      <pane xSplit="2" ySplit="4" topLeftCell="H5" activePane="bottomRight" state="frozen"/>
      <selection pane="topRight" activeCell="C1" sqref="C1"/>
      <selection pane="bottomLeft" activeCell="A5" sqref="A5"/>
      <selection pane="bottomRight" activeCell="B21" sqref="B21"/>
    </sheetView>
  </sheetViews>
  <sheetFormatPr defaultColWidth="8.6328125" defaultRowHeight="14.5" x14ac:dyDescent="0.35"/>
  <cols>
    <col min="1" max="1" width="6" customWidth="1"/>
    <col min="2" max="3" width="22" customWidth="1"/>
    <col min="4" max="4" width="24" customWidth="1"/>
    <col min="5" max="5" width="14" customWidth="1"/>
    <col min="6" max="6" width="9" customWidth="1"/>
    <col min="7" max="8" width="17" customWidth="1"/>
    <col min="9" max="9" width="19" customWidth="1"/>
    <col min="10" max="10" width="17" customWidth="1"/>
    <col min="11" max="11" width="16" customWidth="1"/>
    <col min="12" max="12" width="20" customWidth="1"/>
    <col min="13" max="13" width="18" customWidth="1"/>
    <col min="14" max="14" width="42" customWidth="1"/>
  </cols>
  <sheetData>
    <row r="1" spans="1:14" ht="17.25" customHeight="1" x14ac:dyDescent="0.4">
      <c r="A1" s="1" t="s">
        <v>40</v>
      </c>
    </row>
    <row r="2" spans="1:14" ht="15" customHeight="1" x14ac:dyDescent="0.35">
      <c r="A2" s="9" t="s">
        <v>41</v>
      </c>
    </row>
    <row r="3" spans="1:14" ht="15" customHeight="1" x14ac:dyDescent="0.35">
      <c r="A3" s="2" t="s">
        <v>42</v>
      </c>
    </row>
    <row r="4" spans="1:14" ht="31.5" customHeight="1" x14ac:dyDescent="0.35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2</v>
      </c>
      <c r="G4" s="3" t="s">
        <v>48</v>
      </c>
      <c r="H4" s="3" t="s">
        <v>7</v>
      </c>
      <c r="I4" s="3" t="s">
        <v>49</v>
      </c>
      <c r="J4" s="3" t="s">
        <v>50</v>
      </c>
      <c r="K4" s="3" t="s">
        <v>17</v>
      </c>
      <c r="L4" s="3" t="s">
        <v>51</v>
      </c>
      <c r="M4" s="3" t="s">
        <v>52</v>
      </c>
      <c r="N4" s="3" t="s">
        <v>19</v>
      </c>
    </row>
    <row r="5" spans="1:14" ht="15" customHeight="1" x14ac:dyDescent="0.35">
      <c r="A5" s="11">
        <v>1</v>
      </c>
      <c r="B5" s="12" t="s">
        <v>53</v>
      </c>
      <c r="C5" s="12" t="s">
        <v>54</v>
      </c>
      <c r="D5" s="12" t="s">
        <v>55</v>
      </c>
      <c r="E5" s="11" t="s">
        <v>56</v>
      </c>
      <c r="F5" s="11">
        <v>10</v>
      </c>
      <c r="G5" s="13"/>
      <c r="H5" s="13"/>
      <c r="I5" s="13"/>
      <c r="J5" s="13"/>
      <c r="K5" s="13"/>
      <c r="L5" s="11" t="s">
        <v>57</v>
      </c>
      <c r="M5" s="11"/>
      <c r="N5" s="14" t="s">
        <v>58</v>
      </c>
    </row>
    <row r="6" spans="1:14" ht="15" customHeight="1" x14ac:dyDescent="0.35">
      <c r="A6" s="11">
        <v>2</v>
      </c>
      <c r="B6" s="12" t="s">
        <v>59</v>
      </c>
      <c r="C6" s="12" t="s">
        <v>60</v>
      </c>
      <c r="D6" s="12" t="s">
        <v>61</v>
      </c>
      <c r="E6" s="11" t="s">
        <v>56</v>
      </c>
      <c r="F6" s="11">
        <v>10</v>
      </c>
      <c r="G6" s="13"/>
      <c r="H6" s="13"/>
      <c r="I6" s="13"/>
      <c r="J6" s="13"/>
      <c r="K6" s="13"/>
      <c r="L6" s="11" t="s">
        <v>62</v>
      </c>
      <c r="M6" s="11"/>
      <c r="N6" s="14" t="s">
        <v>63</v>
      </c>
    </row>
    <row r="7" spans="1:14" ht="15" customHeight="1" x14ac:dyDescent="0.35">
      <c r="A7" s="11">
        <v>3</v>
      </c>
      <c r="B7" s="12" t="s">
        <v>64</v>
      </c>
      <c r="C7" s="12" t="s">
        <v>60</v>
      </c>
      <c r="D7" s="12" t="s">
        <v>65</v>
      </c>
      <c r="E7" s="11" t="s">
        <v>56</v>
      </c>
      <c r="F7" s="11">
        <v>10</v>
      </c>
      <c r="G7" s="13"/>
      <c r="H7" s="13"/>
      <c r="I7" s="13"/>
      <c r="J7" s="13"/>
      <c r="K7" s="13"/>
      <c r="L7" s="11" t="s">
        <v>62</v>
      </c>
      <c r="M7" s="11"/>
      <c r="N7" s="14" t="s">
        <v>66</v>
      </c>
    </row>
    <row r="8" spans="1:14" ht="15" customHeight="1" x14ac:dyDescent="0.35">
      <c r="A8" s="15">
        <v>4</v>
      </c>
      <c r="B8" s="16" t="s">
        <v>67</v>
      </c>
      <c r="C8" s="16" t="s">
        <v>68</v>
      </c>
      <c r="D8" s="16" t="s">
        <v>69</v>
      </c>
      <c r="E8" s="15" t="s">
        <v>72</v>
      </c>
      <c r="F8" s="15">
        <v>10</v>
      </c>
      <c r="G8" s="13" t="s">
        <v>207</v>
      </c>
      <c r="H8" s="35" t="s">
        <v>208</v>
      </c>
      <c r="I8" s="13" t="s">
        <v>209</v>
      </c>
      <c r="J8" s="35" t="s">
        <v>225</v>
      </c>
      <c r="K8" s="13"/>
      <c r="L8" s="15" t="s">
        <v>57</v>
      </c>
      <c r="M8" s="17" t="s">
        <v>210</v>
      </c>
      <c r="N8" s="6"/>
    </row>
    <row r="9" spans="1:14" ht="15" customHeight="1" x14ac:dyDescent="0.35">
      <c r="A9" s="15">
        <v>5</v>
      </c>
      <c r="B9" s="16" t="s">
        <v>70</v>
      </c>
      <c r="C9" s="16" t="s">
        <v>71</v>
      </c>
      <c r="D9" s="16" t="s">
        <v>69</v>
      </c>
      <c r="E9" s="15" t="s">
        <v>86</v>
      </c>
      <c r="F9" s="15">
        <v>10</v>
      </c>
      <c r="G9" s="13" t="s">
        <v>211</v>
      </c>
      <c r="H9" s="36"/>
      <c r="I9" s="13" t="s">
        <v>223</v>
      </c>
      <c r="J9" s="36"/>
      <c r="K9" s="13"/>
      <c r="L9" s="15" t="s">
        <v>57</v>
      </c>
      <c r="M9" s="17" t="s">
        <v>249</v>
      </c>
      <c r="N9" s="6"/>
    </row>
    <row r="10" spans="1:14" ht="15" customHeight="1" x14ac:dyDescent="0.35">
      <c r="A10" s="15">
        <v>6</v>
      </c>
      <c r="B10" s="16" t="s">
        <v>73</v>
      </c>
      <c r="C10" s="16" t="s">
        <v>74</v>
      </c>
      <c r="D10" s="16" t="s">
        <v>75</v>
      </c>
      <c r="E10" s="15" t="s">
        <v>86</v>
      </c>
      <c r="F10" s="15">
        <v>10</v>
      </c>
      <c r="G10" s="13" t="s">
        <v>212</v>
      </c>
      <c r="H10" s="36"/>
      <c r="I10" s="13" t="s">
        <v>224</v>
      </c>
      <c r="J10" s="36"/>
      <c r="K10" s="13"/>
      <c r="L10" s="15" t="s">
        <v>57</v>
      </c>
      <c r="M10" s="17" t="s">
        <v>236</v>
      </c>
      <c r="N10" s="6"/>
    </row>
    <row r="11" spans="1:14" ht="15" customHeight="1" x14ac:dyDescent="0.35">
      <c r="A11" s="15">
        <v>10</v>
      </c>
      <c r="B11" s="16" t="s">
        <v>80</v>
      </c>
      <c r="C11" s="16" t="s">
        <v>74</v>
      </c>
      <c r="D11" s="16" t="s">
        <v>81</v>
      </c>
      <c r="E11" s="20" t="s">
        <v>72</v>
      </c>
      <c r="F11" s="15">
        <v>10</v>
      </c>
      <c r="G11" s="13" t="s">
        <v>213</v>
      </c>
      <c r="H11" s="36"/>
      <c r="I11" s="13" t="s">
        <v>213</v>
      </c>
      <c r="J11" s="36"/>
      <c r="K11" s="13"/>
      <c r="L11" s="15" t="s">
        <v>57</v>
      </c>
      <c r="M11" s="17" t="s">
        <v>257</v>
      </c>
      <c r="N11" s="6"/>
    </row>
    <row r="12" spans="1:14" s="26" customFormat="1" ht="15" customHeight="1" x14ac:dyDescent="0.35">
      <c r="A12" s="21">
        <v>13</v>
      </c>
      <c r="B12" s="22" t="s">
        <v>84</v>
      </c>
      <c r="C12" s="22" t="s">
        <v>85</v>
      </c>
      <c r="D12" s="22" t="s">
        <v>81</v>
      </c>
      <c r="E12" s="21" t="s">
        <v>86</v>
      </c>
      <c r="F12" s="21">
        <v>10</v>
      </c>
      <c r="G12" s="23" t="s">
        <v>214</v>
      </c>
      <c r="H12" s="36"/>
      <c r="I12" s="23" t="s">
        <v>214</v>
      </c>
      <c r="J12" s="36"/>
      <c r="K12" s="23"/>
      <c r="L12" s="21" t="s">
        <v>57</v>
      </c>
      <c r="M12" s="24"/>
      <c r="N12" s="25" t="s">
        <v>261</v>
      </c>
    </row>
    <row r="13" spans="1:14" ht="15" customHeight="1" x14ac:dyDescent="0.35">
      <c r="A13" s="15">
        <v>15</v>
      </c>
      <c r="B13" s="16" t="s">
        <v>89</v>
      </c>
      <c r="C13" s="16" t="s">
        <v>68</v>
      </c>
      <c r="D13" s="16" t="s">
        <v>90</v>
      </c>
      <c r="E13" s="15" t="s">
        <v>86</v>
      </c>
      <c r="F13" s="15">
        <v>10</v>
      </c>
      <c r="G13" s="13" t="s">
        <v>215</v>
      </c>
      <c r="H13" s="36"/>
      <c r="I13" s="13" t="s">
        <v>215</v>
      </c>
      <c r="J13" s="36"/>
      <c r="K13" s="13"/>
      <c r="L13" s="15" t="s">
        <v>57</v>
      </c>
      <c r="M13" s="17" t="s">
        <v>263</v>
      </c>
      <c r="N13" s="6"/>
    </row>
    <row r="14" spans="1:14" x14ac:dyDescent="0.35">
      <c r="A14" s="15">
        <v>17</v>
      </c>
      <c r="B14" s="16" t="s">
        <v>92</v>
      </c>
      <c r="C14" s="16" t="s">
        <v>68</v>
      </c>
      <c r="D14" s="16" t="s">
        <v>93</v>
      </c>
      <c r="E14" s="15" t="s">
        <v>72</v>
      </c>
      <c r="F14" s="15">
        <v>10</v>
      </c>
      <c r="G14" s="13" t="s">
        <v>216</v>
      </c>
      <c r="H14" s="36"/>
      <c r="I14" s="13" t="s">
        <v>216</v>
      </c>
      <c r="J14" s="36"/>
      <c r="K14" s="13"/>
      <c r="L14" s="15" t="s">
        <v>57</v>
      </c>
      <c r="M14" s="17" t="s">
        <v>277</v>
      </c>
      <c r="N14" s="6"/>
    </row>
    <row r="15" spans="1:14" ht="15" customHeight="1" x14ac:dyDescent="0.35">
      <c r="A15" s="15">
        <v>18</v>
      </c>
      <c r="B15" s="16" t="s">
        <v>94</v>
      </c>
      <c r="C15" s="16" t="s">
        <v>74</v>
      </c>
      <c r="D15" s="16" t="s">
        <v>93</v>
      </c>
      <c r="E15" s="15" t="s">
        <v>86</v>
      </c>
      <c r="F15" s="15">
        <v>10</v>
      </c>
      <c r="G15" s="13" t="s">
        <v>217</v>
      </c>
      <c r="H15" s="36"/>
      <c r="I15" s="13" t="s">
        <v>217</v>
      </c>
      <c r="J15" s="36"/>
      <c r="K15" s="13"/>
      <c r="L15" s="15" t="s">
        <v>57</v>
      </c>
      <c r="M15" s="17" t="s">
        <v>278</v>
      </c>
      <c r="N15" s="6"/>
    </row>
    <row r="16" spans="1:14" ht="15" customHeight="1" x14ac:dyDescent="0.35">
      <c r="A16" s="15">
        <v>19</v>
      </c>
      <c r="B16" s="16" t="s">
        <v>95</v>
      </c>
      <c r="C16" s="16" t="s">
        <v>74</v>
      </c>
      <c r="D16" s="16" t="s">
        <v>96</v>
      </c>
      <c r="E16" s="15" t="s">
        <v>72</v>
      </c>
      <c r="F16" s="15">
        <v>10</v>
      </c>
      <c r="G16" s="13" t="s">
        <v>218</v>
      </c>
      <c r="H16" s="36"/>
      <c r="I16" s="13" t="s">
        <v>218</v>
      </c>
      <c r="J16" s="36"/>
      <c r="K16" s="13"/>
      <c r="L16" s="15" t="s">
        <v>57</v>
      </c>
      <c r="M16" s="17" t="s">
        <v>283</v>
      </c>
      <c r="N16" s="6"/>
    </row>
    <row r="17" spans="1:14" ht="15" customHeight="1" x14ac:dyDescent="0.35">
      <c r="A17" s="15">
        <v>20</v>
      </c>
      <c r="B17" s="16" t="s">
        <v>97</v>
      </c>
      <c r="C17" s="16" t="s">
        <v>71</v>
      </c>
      <c r="D17" s="16" t="s">
        <v>96</v>
      </c>
      <c r="E17" s="15" t="s">
        <v>86</v>
      </c>
      <c r="F17" s="15">
        <v>10</v>
      </c>
      <c r="G17" s="13" t="s">
        <v>219</v>
      </c>
      <c r="H17" s="36"/>
      <c r="I17" s="13" t="s">
        <v>219</v>
      </c>
      <c r="J17" s="36"/>
      <c r="K17" s="13"/>
      <c r="L17" s="15" t="s">
        <v>57</v>
      </c>
      <c r="M17" s="17" t="s">
        <v>282</v>
      </c>
      <c r="N17" s="6"/>
    </row>
    <row r="18" spans="1:14" ht="15" customHeight="1" x14ac:dyDescent="0.35">
      <c r="A18" s="15">
        <v>22</v>
      </c>
      <c r="B18" s="16" t="s">
        <v>100</v>
      </c>
      <c r="C18" s="16" t="s">
        <v>74</v>
      </c>
      <c r="D18" s="16" t="s">
        <v>99</v>
      </c>
      <c r="E18" s="15" t="s">
        <v>86</v>
      </c>
      <c r="F18" s="15">
        <v>10</v>
      </c>
      <c r="G18" s="13" t="s">
        <v>220</v>
      </c>
      <c r="H18" s="36"/>
      <c r="I18" s="13" t="s">
        <v>220</v>
      </c>
      <c r="J18" s="36"/>
      <c r="K18" s="13"/>
      <c r="L18" s="15" t="s">
        <v>57</v>
      </c>
      <c r="M18" s="17" t="s">
        <v>269</v>
      </c>
      <c r="N18" s="6"/>
    </row>
    <row r="19" spans="1:14" ht="15" customHeight="1" x14ac:dyDescent="0.35">
      <c r="A19" s="15">
        <v>24</v>
      </c>
      <c r="B19" s="16" t="s">
        <v>102</v>
      </c>
      <c r="C19" s="16" t="s">
        <v>103</v>
      </c>
      <c r="D19" s="16" t="s">
        <v>104</v>
      </c>
      <c r="E19" s="15" t="s">
        <v>105</v>
      </c>
      <c r="F19" s="15">
        <v>10</v>
      </c>
      <c r="G19" s="13" t="s">
        <v>221</v>
      </c>
      <c r="H19" s="36"/>
      <c r="I19" s="13" t="s">
        <v>221</v>
      </c>
      <c r="J19" s="36"/>
      <c r="K19" s="13"/>
      <c r="L19" s="15" t="s">
        <v>57</v>
      </c>
      <c r="M19" s="17" t="s">
        <v>253</v>
      </c>
      <c r="N19" s="18" t="s">
        <v>254</v>
      </c>
    </row>
    <row r="20" spans="1:14" ht="15" customHeight="1" x14ac:dyDescent="0.35">
      <c r="A20" s="15">
        <v>25</v>
      </c>
      <c r="B20" s="16" t="s">
        <v>106</v>
      </c>
      <c r="C20" s="16" t="s">
        <v>107</v>
      </c>
      <c r="D20" s="16" t="s">
        <v>104</v>
      </c>
      <c r="E20" s="15" t="s">
        <v>105</v>
      </c>
      <c r="F20" s="15">
        <v>10</v>
      </c>
      <c r="G20" s="13" t="s">
        <v>222</v>
      </c>
      <c r="H20" s="37"/>
      <c r="I20" s="13" t="s">
        <v>222</v>
      </c>
      <c r="J20" s="37"/>
      <c r="K20" s="13"/>
      <c r="L20" s="15" t="s">
        <v>57</v>
      </c>
      <c r="M20" s="17" t="s">
        <v>255</v>
      </c>
      <c r="N20" s="18" t="s">
        <v>254</v>
      </c>
    </row>
    <row r="21" spans="1:14" ht="15" customHeight="1" x14ac:dyDescent="0.35">
      <c r="A21" s="15"/>
      <c r="B21" s="16"/>
      <c r="C21" s="16"/>
      <c r="D21" s="16"/>
      <c r="E21" s="15"/>
      <c r="F21" s="15"/>
      <c r="G21" s="28"/>
      <c r="H21" s="28"/>
      <c r="I21" s="28"/>
      <c r="J21" s="28"/>
      <c r="K21" s="28"/>
      <c r="L21" s="15"/>
      <c r="M21" s="15"/>
      <c r="N21" s="6"/>
    </row>
    <row r="22" spans="1:14" ht="15" customHeight="1" x14ac:dyDescent="0.35">
      <c r="A22" s="15"/>
      <c r="B22" s="16"/>
      <c r="C22" s="16"/>
      <c r="D22" s="16"/>
      <c r="E22" s="15"/>
      <c r="F22" s="15"/>
      <c r="G22" s="28"/>
      <c r="H22" s="28"/>
      <c r="I22" s="28"/>
      <c r="J22" s="28"/>
      <c r="K22" s="28"/>
      <c r="L22" s="15"/>
      <c r="M22" s="15"/>
      <c r="N22" s="6"/>
    </row>
    <row r="23" spans="1:14" ht="15" customHeight="1" x14ac:dyDescent="0.35">
      <c r="A23" s="15"/>
      <c r="B23" s="16"/>
      <c r="C23" s="16"/>
      <c r="D23" s="16"/>
      <c r="E23" s="15"/>
      <c r="F23" s="15"/>
      <c r="G23" s="28"/>
      <c r="H23" s="28"/>
      <c r="I23" s="28"/>
      <c r="J23" s="28"/>
      <c r="K23" s="28"/>
      <c r="L23" s="15"/>
      <c r="M23" s="15"/>
      <c r="N23" s="6"/>
    </row>
    <row r="24" spans="1:14" ht="15" customHeight="1" x14ac:dyDescent="0.35">
      <c r="A24" s="15"/>
      <c r="B24" s="16"/>
      <c r="C24" s="16"/>
      <c r="D24" s="16"/>
      <c r="E24" s="15"/>
      <c r="F24" s="15"/>
      <c r="G24" s="28"/>
      <c r="H24" s="28"/>
      <c r="I24" s="28"/>
      <c r="J24" s="28"/>
      <c r="K24" s="28"/>
      <c r="L24" s="15"/>
      <c r="M24" s="15"/>
      <c r="N24" s="6"/>
    </row>
    <row r="25" spans="1:14" ht="15" customHeight="1" x14ac:dyDescent="0.35">
      <c r="A25" s="15"/>
      <c r="B25" s="16"/>
      <c r="C25" s="16"/>
      <c r="D25" s="16"/>
      <c r="E25" s="15"/>
      <c r="F25" s="15"/>
      <c r="G25" s="28"/>
      <c r="H25" s="28"/>
      <c r="I25" s="28"/>
      <c r="J25" s="28"/>
      <c r="K25" s="28"/>
      <c r="L25" s="15"/>
      <c r="M25" s="15"/>
      <c r="N25" s="6"/>
    </row>
    <row r="26" spans="1:14" ht="15" customHeight="1" x14ac:dyDescent="0.35">
      <c r="A26" s="15"/>
      <c r="B26" s="16"/>
      <c r="C26" s="16"/>
      <c r="D26" s="16"/>
      <c r="E26" s="15"/>
      <c r="F26" s="15"/>
      <c r="G26" s="28"/>
      <c r="H26" s="28"/>
      <c r="I26" s="28"/>
      <c r="J26" s="28"/>
      <c r="K26" s="28"/>
      <c r="L26" s="15"/>
      <c r="M26" s="15"/>
      <c r="N26" s="6"/>
    </row>
    <row r="27" spans="1:14" ht="15" customHeight="1" x14ac:dyDescent="0.35">
      <c r="A27" s="15"/>
      <c r="B27" s="16"/>
      <c r="C27" s="16"/>
      <c r="D27" s="16"/>
      <c r="E27" s="15"/>
      <c r="F27" s="15"/>
      <c r="G27" s="28"/>
      <c r="H27" s="28"/>
      <c r="I27" s="28"/>
      <c r="J27" s="28"/>
      <c r="K27" s="28"/>
      <c r="L27" s="15"/>
      <c r="M27" s="15"/>
      <c r="N27" s="6"/>
    </row>
    <row r="28" spans="1:14" ht="15" customHeight="1" x14ac:dyDescent="0.35">
      <c r="A28" s="15"/>
      <c r="B28" s="16"/>
      <c r="C28" s="16"/>
      <c r="D28" s="16"/>
      <c r="E28" s="15"/>
      <c r="F28" s="15"/>
      <c r="G28" s="28"/>
      <c r="H28" s="28"/>
      <c r="I28" s="28"/>
      <c r="J28" s="28"/>
      <c r="K28" s="28"/>
      <c r="L28" s="15"/>
      <c r="M28" s="15"/>
      <c r="N28" s="6"/>
    </row>
    <row r="29" spans="1:14" ht="15" customHeight="1" x14ac:dyDescent="0.35">
      <c r="A29" s="15"/>
      <c r="B29" s="16"/>
      <c r="C29" s="16"/>
      <c r="D29" s="16"/>
      <c r="E29" s="15"/>
      <c r="F29" s="15"/>
      <c r="G29" s="28"/>
      <c r="H29" s="28"/>
      <c r="I29" s="28"/>
      <c r="J29" s="28"/>
      <c r="K29" s="28"/>
      <c r="L29" s="15"/>
      <c r="M29" s="15"/>
      <c r="N29" s="6"/>
    </row>
    <row r="30" spans="1:14" ht="15" customHeight="1" x14ac:dyDescent="0.35">
      <c r="A30" s="15"/>
      <c r="B30" s="16"/>
      <c r="C30" s="16"/>
      <c r="D30" s="16"/>
      <c r="E30" s="15"/>
      <c r="F30" s="15"/>
      <c r="G30" s="28"/>
      <c r="H30" s="28"/>
      <c r="I30" s="28"/>
      <c r="J30" s="28"/>
      <c r="K30" s="28"/>
      <c r="L30" s="15"/>
      <c r="M30" s="15"/>
      <c r="N30" s="6"/>
    </row>
  </sheetData>
  <autoFilter ref="A5:A20" xr:uid="{00000000-0001-0000-0100-000000000000}"/>
  <mergeCells count="2">
    <mergeCell ref="H8:H20"/>
    <mergeCell ref="J8:J20"/>
  </mergeCells>
  <phoneticPr fontId="7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N23"/>
  <sheetViews>
    <sheetView zoomScale="99" zoomScaleNormal="103" workbookViewId="0">
      <pane xSplit="2" ySplit="4" topLeftCell="E5" activePane="bottomRight" state="frozen"/>
      <selection pane="topRight" activeCell="C1" sqref="C1"/>
      <selection pane="bottomLeft" activeCell="A5" sqref="A5"/>
      <selection pane="bottomRight" activeCell="I25" sqref="I25"/>
    </sheetView>
  </sheetViews>
  <sheetFormatPr defaultColWidth="8.6328125" defaultRowHeight="14.5" x14ac:dyDescent="0.35"/>
  <cols>
    <col min="1" max="1" width="6" customWidth="1"/>
    <col min="2" max="3" width="22" customWidth="1"/>
    <col min="4" max="4" width="24" customWidth="1"/>
    <col min="5" max="5" width="14" customWidth="1"/>
    <col min="6" max="6" width="9" customWidth="1"/>
    <col min="7" max="8" width="17" customWidth="1"/>
    <col min="9" max="9" width="19" customWidth="1"/>
    <col min="10" max="10" width="17" customWidth="1"/>
    <col min="11" max="11" width="16" customWidth="1"/>
    <col min="12" max="12" width="20" customWidth="1"/>
    <col min="13" max="13" width="18" customWidth="1"/>
    <col min="14" max="14" width="42" customWidth="1"/>
  </cols>
  <sheetData>
    <row r="1" spans="1:14" ht="17.25" customHeight="1" x14ac:dyDescent="0.4">
      <c r="A1" s="1" t="s">
        <v>108</v>
      </c>
    </row>
    <row r="2" spans="1:14" ht="15" customHeight="1" x14ac:dyDescent="0.35">
      <c r="A2" s="9" t="s">
        <v>109</v>
      </c>
    </row>
    <row r="3" spans="1:14" ht="15" customHeight="1" x14ac:dyDescent="0.35">
      <c r="A3" s="2" t="s">
        <v>42</v>
      </c>
    </row>
    <row r="4" spans="1:14" ht="31.5" customHeight="1" x14ac:dyDescent="0.35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2</v>
      </c>
      <c r="G4" s="3" t="s">
        <v>48</v>
      </c>
      <c r="H4" s="3" t="s">
        <v>7</v>
      </c>
      <c r="I4" s="3" t="s">
        <v>49</v>
      </c>
      <c r="J4" s="3" t="s">
        <v>50</v>
      </c>
      <c r="K4" s="3" t="s">
        <v>17</v>
      </c>
      <c r="L4" s="3" t="s">
        <v>51</v>
      </c>
      <c r="M4" s="3" t="s">
        <v>52</v>
      </c>
      <c r="N4" s="3" t="s">
        <v>19</v>
      </c>
    </row>
    <row r="5" spans="1:14" ht="15" customHeight="1" x14ac:dyDescent="0.35">
      <c r="A5" s="11">
        <v>1</v>
      </c>
      <c r="B5" s="12" t="s">
        <v>53</v>
      </c>
      <c r="C5" s="12" t="s">
        <v>54</v>
      </c>
      <c r="D5" s="12" t="s">
        <v>55</v>
      </c>
      <c r="E5" s="11" t="s">
        <v>110</v>
      </c>
      <c r="F5" s="11">
        <v>20</v>
      </c>
      <c r="G5" s="13"/>
      <c r="H5" s="13"/>
      <c r="I5" s="13"/>
      <c r="J5" s="13"/>
      <c r="K5" s="13"/>
      <c r="L5" s="11" t="s">
        <v>57</v>
      </c>
      <c r="M5" s="11"/>
      <c r="N5" s="14" t="s">
        <v>58</v>
      </c>
    </row>
    <row r="6" spans="1:14" ht="15" customHeight="1" x14ac:dyDescent="0.35">
      <c r="A6" s="11">
        <v>2</v>
      </c>
      <c r="B6" s="12" t="s">
        <v>59</v>
      </c>
      <c r="C6" s="12" t="s">
        <v>60</v>
      </c>
      <c r="D6" s="12" t="s">
        <v>61</v>
      </c>
      <c r="E6" s="11" t="s">
        <v>110</v>
      </c>
      <c r="F6" s="11">
        <v>20</v>
      </c>
      <c r="G6" s="13"/>
      <c r="H6" s="13"/>
      <c r="I6" s="13"/>
      <c r="J6" s="13"/>
      <c r="K6" s="13"/>
      <c r="L6" s="11" t="s">
        <v>62</v>
      </c>
      <c r="M6" s="11"/>
      <c r="N6" s="14" t="s">
        <v>63</v>
      </c>
    </row>
    <row r="7" spans="1:14" ht="15" customHeight="1" x14ac:dyDescent="0.35">
      <c r="A7" s="11">
        <v>3</v>
      </c>
      <c r="B7" s="12" t="s">
        <v>64</v>
      </c>
      <c r="C7" s="12" t="s">
        <v>60</v>
      </c>
      <c r="D7" s="12" t="s">
        <v>65</v>
      </c>
      <c r="E7" s="11" t="s">
        <v>110</v>
      </c>
      <c r="F7" s="11">
        <v>20</v>
      </c>
      <c r="G7" s="13"/>
      <c r="H7" s="13"/>
      <c r="I7" s="13"/>
      <c r="J7" s="13"/>
      <c r="K7" s="13"/>
      <c r="L7" s="11" t="s">
        <v>62</v>
      </c>
      <c r="M7" s="11"/>
      <c r="N7" s="14" t="s">
        <v>66</v>
      </c>
    </row>
    <row r="8" spans="1:14" ht="15" customHeight="1" x14ac:dyDescent="0.35">
      <c r="A8" s="15">
        <v>4</v>
      </c>
      <c r="B8" s="16" t="s">
        <v>111</v>
      </c>
      <c r="C8" s="16" t="s">
        <v>112</v>
      </c>
      <c r="D8" s="16" t="s">
        <v>78</v>
      </c>
      <c r="E8" s="15" t="s">
        <v>72</v>
      </c>
      <c r="F8" s="15">
        <v>20</v>
      </c>
      <c r="G8" s="13" t="s">
        <v>241</v>
      </c>
      <c r="H8" s="35" t="s">
        <v>208</v>
      </c>
      <c r="I8" s="13" t="s">
        <v>280</v>
      </c>
      <c r="J8" s="35" t="s">
        <v>247</v>
      </c>
      <c r="K8" s="13"/>
      <c r="L8" s="15" t="s">
        <v>62</v>
      </c>
      <c r="M8" s="17" t="s">
        <v>248</v>
      </c>
      <c r="N8" s="6"/>
    </row>
    <row r="9" spans="1:14" ht="15" customHeight="1" x14ac:dyDescent="0.35">
      <c r="A9" s="15">
        <v>5</v>
      </c>
      <c r="B9" s="16" t="s">
        <v>113</v>
      </c>
      <c r="C9" s="16" t="s">
        <v>112</v>
      </c>
      <c r="D9" s="16" t="s">
        <v>114</v>
      </c>
      <c r="E9" s="15" t="s">
        <v>72</v>
      </c>
      <c r="F9" s="15">
        <v>20</v>
      </c>
      <c r="G9" s="13" t="s">
        <v>242</v>
      </c>
      <c r="H9" s="36"/>
      <c r="I9" s="13" t="s">
        <v>281</v>
      </c>
      <c r="J9" s="36"/>
      <c r="K9" s="13"/>
      <c r="L9" s="15" t="s">
        <v>62</v>
      </c>
      <c r="M9" s="17" t="s">
        <v>251</v>
      </c>
      <c r="N9" s="6"/>
    </row>
    <row r="10" spans="1:14" ht="15" customHeight="1" x14ac:dyDescent="0.35">
      <c r="A10" s="15">
        <v>6</v>
      </c>
      <c r="B10" s="16" t="s">
        <v>115</v>
      </c>
      <c r="C10" s="16" t="s">
        <v>112</v>
      </c>
      <c r="D10" s="16" t="s">
        <v>69</v>
      </c>
      <c r="E10" s="15" t="s">
        <v>258</v>
      </c>
      <c r="F10" s="15">
        <v>20</v>
      </c>
      <c r="G10" s="13" t="s">
        <v>243</v>
      </c>
      <c r="H10" s="36"/>
      <c r="I10" s="13" t="s">
        <v>243</v>
      </c>
      <c r="J10" s="36"/>
      <c r="K10" s="13"/>
      <c r="L10" s="15" t="s">
        <v>62</v>
      </c>
      <c r="M10" s="17" t="s">
        <v>252</v>
      </c>
      <c r="N10" s="6"/>
    </row>
    <row r="11" spans="1:14" ht="15" customHeight="1" x14ac:dyDescent="0.35">
      <c r="A11" s="15">
        <v>7</v>
      </c>
      <c r="B11" s="16" t="s">
        <v>116</v>
      </c>
      <c r="C11" s="16" t="s">
        <v>112</v>
      </c>
      <c r="D11" s="16" t="s">
        <v>90</v>
      </c>
      <c r="E11" s="15" t="s">
        <v>72</v>
      </c>
      <c r="F11" s="15">
        <v>20</v>
      </c>
      <c r="G11" s="13" t="s">
        <v>244</v>
      </c>
      <c r="H11" s="36"/>
      <c r="I11" s="13" t="s">
        <v>244</v>
      </c>
      <c r="J11" s="36"/>
      <c r="K11" s="13"/>
      <c r="L11" s="15" t="s">
        <v>62</v>
      </c>
      <c r="M11" s="17" t="s">
        <v>262</v>
      </c>
      <c r="N11" s="6"/>
    </row>
    <row r="12" spans="1:14" ht="15" customHeight="1" x14ac:dyDescent="0.35">
      <c r="A12" s="15">
        <v>8</v>
      </c>
      <c r="B12" s="16" t="s">
        <v>117</v>
      </c>
      <c r="C12" s="16" t="s">
        <v>112</v>
      </c>
      <c r="D12" s="16" t="s">
        <v>88</v>
      </c>
      <c r="E12" s="15" t="s">
        <v>72</v>
      </c>
      <c r="F12" s="15">
        <v>20</v>
      </c>
      <c r="G12" s="13" t="s">
        <v>245</v>
      </c>
      <c r="H12" s="36"/>
      <c r="I12" s="13" t="s">
        <v>245</v>
      </c>
      <c r="J12" s="36"/>
      <c r="K12" s="13"/>
      <c r="L12" s="15" t="s">
        <v>62</v>
      </c>
      <c r="M12" s="17" t="s">
        <v>275</v>
      </c>
      <c r="N12" s="6"/>
    </row>
    <row r="13" spans="1:14" ht="15" customHeight="1" x14ac:dyDescent="0.35">
      <c r="A13" s="15">
        <v>9</v>
      </c>
      <c r="B13" s="16" t="s">
        <v>118</v>
      </c>
      <c r="C13" s="16" t="s">
        <v>112</v>
      </c>
      <c r="D13" s="16" t="s">
        <v>96</v>
      </c>
      <c r="E13" s="15" t="s">
        <v>258</v>
      </c>
      <c r="F13" s="15">
        <v>20</v>
      </c>
      <c r="G13" s="13" t="s">
        <v>246</v>
      </c>
      <c r="H13" s="36"/>
      <c r="I13" s="13" t="s">
        <v>246</v>
      </c>
      <c r="J13" s="36"/>
      <c r="K13" s="13"/>
      <c r="L13" s="15" t="s">
        <v>62</v>
      </c>
      <c r="M13" s="17" t="s">
        <v>279</v>
      </c>
      <c r="N13" s="6"/>
    </row>
    <row r="14" spans="1:14" ht="15" customHeight="1" x14ac:dyDescent="0.35">
      <c r="A14" s="15">
        <v>10</v>
      </c>
      <c r="B14" s="16" t="s">
        <v>98</v>
      </c>
      <c r="C14" s="16" t="s">
        <v>68</v>
      </c>
      <c r="D14" s="16" t="s">
        <v>99</v>
      </c>
      <c r="E14" s="15" t="s">
        <v>72</v>
      </c>
      <c r="F14" s="15">
        <v>20</v>
      </c>
      <c r="G14" s="13" t="s">
        <v>270</v>
      </c>
      <c r="H14" s="37"/>
      <c r="I14" s="13" t="s">
        <v>270</v>
      </c>
      <c r="J14" s="37"/>
      <c r="K14" s="13"/>
      <c r="L14" s="15" t="s">
        <v>62</v>
      </c>
      <c r="M14" s="27" t="s">
        <v>271</v>
      </c>
      <c r="N14" s="6"/>
    </row>
    <row r="15" spans="1:14" ht="15" customHeight="1" x14ac:dyDescent="0.35">
      <c r="A15" s="15"/>
      <c r="B15" s="16"/>
      <c r="C15" s="16"/>
      <c r="D15" s="16"/>
      <c r="E15" s="15"/>
      <c r="F15" s="15"/>
      <c r="G15" s="28"/>
      <c r="H15" s="28"/>
      <c r="I15" s="28"/>
      <c r="J15" s="28"/>
      <c r="K15" s="28"/>
      <c r="L15" s="15"/>
      <c r="M15" s="15"/>
      <c r="N15" s="6"/>
    </row>
    <row r="16" spans="1:14" ht="15" customHeight="1" x14ac:dyDescent="0.35">
      <c r="A16" s="15"/>
      <c r="B16" s="16"/>
      <c r="C16" s="16"/>
      <c r="D16" s="16"/>
      <c r="E16" s="15"/>
      <c r="F16" s="15"/>
      <c r="G16" s="28"/>
      <c r="H16" s="28"/>
      <c r="I16" s="28"/>
      <c r="J16" s="28"/>
      <c r="K16" s="28"/>
      <c r="L16" s="15"/>
      <c r="M16" s="15"/>
      <c r="N16" s="6"/>
    </row>
    <row r="17" spans="1:14" ht="15" customHeight="1" x14ac:dyDescent="0.35">
      <c r="A17" s="15"/>
      <c r="B17" s="16"/>
      <c r="C17" s="16"/>
      <c r="D17" s="16"/>
      <c r="E17" s="15"/>
      <c r="F17" s="15"/>
      <c r="G17" s="28"/>
      <c r="H17" s="28"/>
      <c r="I17" s="28"/>
      <c r="J17" s="28"/>
      <c r="K17" s="28"/>
      <c r="L17" s="15"/>
      <c r="M17" s="15"/>
      <c r="N17" s="6"/>
    </row>
    <row r="18" spans="1:14" ht="15" customHeight="1" x14ac:dyDescent="0.35">
      <c r="A18" s="15"/>
      <c r="B18" s="16"/>
      <c r="C18" s="16"/>
      <c r="D18" s="16"/>
      <c r="E18" s="15"/>
      <c r="F18" s="15"/>
      <c r="G18" s="28"/>
      <c r="H18" s="28"/>
      <c r="I18" s="28"/>
      <c r="J18" s="28"/>
      <c r="K18" s="28"/>
      <c r="L18" s="15"/>
      <c r="M18" s="15"/>
      <c r="N18" s="6"/>
    </row>
    <row r="19" spans="1:14" ht="15" customHeight="1" x14ac:dyDescent="0.35">
      <c r="A19" s="15"/>
      <c r="B19" s="16"/>
      <c r="C19" s="16"/>
      <c r="D19" s="16"/>
      <c r="E19" s="15"/>
      <c r="F19" s="15"/>
      <c r="G19" s="28"/>
      <c r="H19" s="28"/>
      <c r="I19" s="28"/>
      <c r="J19" s="28"/>
      <c r="K19" s="28"/>
      <c r="L19" s="15"/>
      <c r="M19" s="15"/>
      <c r="N19" s="6"/>
    </row>
    <row r="20" spans="1:14" ht="15" customHeight="1" x14ac:dyDescent="0.35">
      <c r="A20" s="15"/>
      <c r="B20" s="16"/>
      <c r="C20" s="16"/>
      <c r="D20" s="16"/>
      <c r="E20" s="15"/>
      <c r="F20" s="15"/>
      <c r="G20" s="28"/>
      <c r="H20" s="28"/>
      <c r="I20" s="28"/>
      <c r="J20" s="28"/>
      <c r="K20" s="28"/>
      <c r="L20" s="15"/>
      <c r="M20" s="15"/>
      <c r="N20" s="6"/>
    </row>
    <row r="21" spans="1:14" ht="15" customHeight="1" x14ac:dyDescent="0.35">
      <c r="A21" s="15"/>
      <c r="B21" s="16"/>
      <c r="C21" s="16"/>
      <c r="D21" s="16"/>
      <c r="E21" s="15"/>
      <c r="F21" s="15"/>
      <c r="G21" s="28"/>
      <c r="H21" s="28"/>
      <c r="I21" s="28"/>
      <c r="J21" s="28"/>
      <c r="K21" s="28"/>
      <c r="L21" s="15"/>
      <c r="M21" s="15"/>
      <c r="N21" s="6"/>
    </row>
    <row r="22" spans="1:14" ht="15" customHeight="1" x14ac:dyDescent="0.35">
      <c r="A22" s="15"/>
      <c r="B22" s="16"/>
      <c r="C22" s="16"/>
      <c r="D22" s="16"/>
      <c r="E22" s="15"/>
      <c r="F22" s="15"/>
      <c r="G22" s="28"/>
      <c r="H22" s="28"/>
      <c r="I22" s="28"/>
      <c r="J22" s="28"/>
      <c r="K22" s="28"/>
      <c r="L22" s="15"/>
      <c r="M22" s="15"/>
      <c r="N22" s="6"/>
    </row>
    <row r="23" spans="1:14" ht="15" customHeight="1" x14ac:dyDescent="0.35">
      <c r="A23" s="15"/>
      <c r="B23" s="16"/>
      <c r="C23" s="16"/>
      <c r="D23" s="16"/>
      <c r="E23" s="15"/>
      <c r="F23" s="15"/>
      <c r="G23" s="28"/>
      <c r="H23" s="28"/>
      <c r="I23" s="28"/>
      <c r="J23" s="28"/>
      <c r="K23" s="28"/>
      <c r="L23" s="15"/>
      <c r="M23" s="15"/>
      <c r="N23" s="6"/>
    </row>
  </sheetData>
  <autoFilter ref="A4:N23" xr:uid="{00000000-0009-0000-0000-000002000000}"/>
  <mergeCells count="2">
    <mergeCell ref="H8:H14"/>
    <mergeCell ref="J8:J14"/>
  </mergeCells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N19"/>
  <sheetViews>
    <sheetView zoomScale="94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18" sqref="L18"/>
    </sheetView>
  </sheetViews>
  <sheetFormatPr defaultColWidth="8.6328125" defaultRowHeight="14.5" x14ac:dyDescent="0.35"/>
  <cols>
    <col min="1" max="1" width="6" customWidth="1"/>
    <col min="2" max="3" width="22" customWidth="1"/>
    <col min="4" max="4" width="24" customWidth="1"/>
    <col min="5" max="5" width="14" customWidth="1"/>
    <col min="6" max="6" width="9" customWidth="1"/>
    <col min="7" max="8" width="17" customWidth="1"/>
    <col min="9" max="9" width="19" customWidth="1"/>
    <col min="10" max="10" width="17" customWidth="1"/>
    <col min="11" max="11" width="16" customWidth="1"/>
    <col min="12" max="12" width="20" customWidth="1"/>
    <col min="13" max="13" width="18" customWidth="1"/>
    <col min="14" max="14" width="42" customWidth="1"/>
  </cols>
  <sheetData>
    <row r="1" spans="1:14" ht="17.25" customHeight="1" x14ac:dyDescent="0.4">
      <c r="A1" s="1" t="s">
        <v>119</v>
      </c>
    </row>
    <row r="2" spans="1:14" ht="15" customHeight="1" x14ac:dyDescent="0.35">
      <c r="A2" s="9" t="s">
        <v>120</v>
      </c>
    </row>
    <row r="3" spans="1:14" ht="15" customHeight="1" x14ac:dyDescent="0.35">
      <c r="A3" s="2" t="s">
        <v>42</v>
      </c>
    </row>
    <row r="4" spans="1:14" ht="31.5" customHeight="1" x14ac:dyDescent="0.35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2</v>
      </c>
      <c r="G4" s="3" t="s">
        <v>48</v>
      </c>
      <c r="H4" s="3" t="s">
        <v>7</v>
      </c>
      <c r="I4" s="3" t="s">
        <v>49</v>
      </c>
      <c r="J4" s="3" t="s">
        <v>50</v>
      </c>
      <c r="K4" s="3" t="s">
        <v>17</v>
      </c>
      <c r="L4" s="3" t="s">
        <v>51</v>
      </c>
      <c r="M4" s="3" t="s">
        <v>52</v>
      </c>
      <c r="N4" s="3" t="s">
        <v>19</v>
      </c>
    </row>
    <row r="5" spans="1:14" ht="15" customHeight="1" x14ac:dyDescent="0.35">
      <c r="A5" s="11">
        <v>1</v>
      </c>
      <c r="B5" s="12" t="s">
        <v>53</v>
      </c>
      <c r="C5" s="12" t="s">
        <v>54</v>
      </c>
      <c r="D5" s="12" t="s">
        <v>55</v>
      </c>
      <c r="E5" s="11" t="s">
        <v>121</v>
      </c>
      <c r="F5" s="11">
        <v>30</v>
      </c>
      <c r="G5" s="13"/>
      <c r="H5" s="13"/>
      <c r="I5" s="13"/>
      <c r="J5" s="13"/>
      <c r="K5" s="13"/>
      <c r="L5" s="11" t="s">
        <v>57</v>
      </c>
      <c r="M5" s="11"/>
      <c r="N5" s="14" t="s">
        <v>58</v>
      </c>
    </row>
    <row r="6" spans="1:14" ht="15" customHeight="1" x14ac:dyDescent="0.35">
      <c r="A6" s="11">
        <v>2</v>
      </c>
      <c r="B6" s="12" t="s">
        <v>59</v>
      </c>
      <c r="C6" s="12" t="s">
        <v>60</v>
      </c>
      <c r="D6" s="12" t="s">
        <v>61</v>
      </c>
      <c r="E6" s="11" t="s">
        <v>121</v>
      </c>
      <c r="F6" s="11">
        <v>30</v>
      </c>
      <c r="G6" s="13"/>
      <c r="H6" s="13"/>
      <c r="I6" s="13"/>
      <c r="J6" s="13"/>
      <c r="K6" s="13"/>
      <c r="L6" s="11" t="s">
        <v>62</v>
      </c>
      <c r="M6" s="11"/>
      <c r="N6" s="14" t="s">
        <v>63</v>
      </c>
    </row>
    <row r="7" spans="1:14" ht="15" customHeight="1" x14ac:dyDescent="0.35">
      <c r="A7" s="11">
        <v>3</v>
      </c>
      <c r="B7" s="12" t="s">
        <v>64</v>
      </c>
      <c r="C7" s="12" t="s">
        <v>60</v>
      </c>
      <c r="D7" s="12" t="s">
        <v>65</v>
      </c>
      <c r="E7" s="11" t="s">
        <v>121</v>
      </c>
      <c r="F7" s="11">
        <v>30</v>
      </c>
      <c r="G7" s="13"/>
      <c r="H7" s="13"/>
      <c r="I7" s="13"/>
      <c r="J7" s="13"/>
      <c r="K7" s="13"/>
      <c r="L7" s="11" t="s">
        <v>62</v>
      </c>
      <c r="M7" s="11"/>
      <c r="N7" s="14" t="s">
        <v>66</v>
      </c>
    </row>
    <row r="8" spans="1:14" ht="15" customHeight="1" x14ac:dyDescent="0.35">
      <c r="A8" s="15">
        <v>4</v>
      </c>
      <c r="B8" s="16" t="s">
        <v>79</v>
      </c>
      <c r="C8" s="16" t="s">
        <v>68</v>
      </c>
      <c r="D8" s="16" t="s">
        <v>226</v>
      </c>
      <c r="E8" s="15" t="s">
        <v>227</v>
      </c>
      <c r="F8" s="15">
        <v>30</v>
      </c>
      <c r="G8" s="13" t="s">
        <v>228</v>
      </c>
      <c r="H8" s="35" t="s">
        <v>208</v>
      </c>
      <c r="I8" s="13" t="s">
        <v>229</v>
      </c>
      <c r="J8" s="35" t="s">
        <v>230</v>
      </c>
      <c r="K8" s="13"/>
      <c r="L8" s="15" t="s">
        <v>62</v>
      </c>
      <c r="M8" s="17" t="s">
        <v>250</v>
      </c>
      <c r="N8" s="6"/>
    </row>
    <row r="9" spans="1:14" ht="15" customHeight="1" x14ac:dyDescent="0.35">
      <c r="A9" s="15">
        <v>5</v>
      </c>
      <c r="B9" s="16" t="s">
        <v>76</v>
      </c>
      <c r="C9" s="16" t="s">
        <v>74</v>
      </c>
      <c r="D9" s="16" t="s">
        <v>75</v>
      </c>
      <c r="E9" s="15" t="s">
        <v>72</v>
      </c>
      <c r="F9" s="15">
        <v>30</v>
      </c>
      <c r="G9" s="13" t="s">
        <v>231</v>
      </c>
      <c r="H9" s="36"/>
      <c r="I9" s="13" t="s">
        <v>237</v>
      </c>
      <c r="J9" s="36"/>
      <c r="K9" s="13"/>
      <c r="L9" s="15" t="s">
        <v>62</v>
      </c>
      <c r="M9" s="17" t="s">
        <v>235</v>
      </c>
      <c r="N9" s="6"/>
    </row>
    <row r="10" spans="1:14" ht="15" customHeight="1" x14ac:dyDescent="0.35">
      <c r="A10" s="15">
        <v>6</v>
      </c>
      <c r="B10" s="19" t="s">
        <v>77</v>
      </c>
      <c r="C10" s="16" t="s">
        <v>68</v>
      </c>
      <c r="D10" s="16" t="s">
        <v>78</v>
      </c>
      <c r="E10" s="20" t="s">
        <v>86</v>
      </c>
      <c r="F10" s="15">
        <v>30</v>
      </c>
      <c r="G10" s="13" t="s">
        <v>232</v>
      </c>
      <c r="H10" s="36"/>
      <c r="I10" s="13" t="s">
        <v>238</v>
      </c>
      <c r="J10" s="36"/>
      <c r="K10" s="13"/>
      <c r="L10" s="15" t="s">
        <v>62</v>
      </c>
      <c r="M10" s="17" t="s">
        <v>256</v>
      </c>
      <c r="N10" s="6"/>
    </row>
    <row r="11" spans="1:14" ht="15" customHeight="1" x14ac:dyDescent="0.35">
      <c r="A11" s="15">
        <v>7</v>
      </c>
      <c r="B11" s="16" t="s">
        <v>82</v>
      </c>
      <c r="C11" s="16" t="s">
        <v>74</v>
      </c>
      <c r="D11" s="16" t="s">
        <v>81</v>
      </c>
      <c r="E11" s="20" t="s">
        <v>258</v>
      </c>
      <c r="F11" s="15">
        <v>30</v>
      </c>
      <c r="G11" s="13" t="s">
        <v>233</v>
      </c>
      <c r="H11" s="36"/>
      <c r="I11" s="13" t="s">
        <v>239</v>
      </c>
      <c r="J11" s="36"/>
      <c r="K11" s="13"/>
      <c r="L11" s="15" t="s">
        <v>62</v>
      </c>
      <c r="M11" s="17" t="s">
        <v>259</v>
      </c>
      <c r="N11" s="6"/>
    </row>
    <row r="12" spans="1:14" ht="15" customHeight="1" x14ac:dyDescent="0.35">
      <c r="A12" s="15">
        <v>8</v>
      </c>
      <c r="B12" s="16" t="s">
        <v>83</v>
      </c>
      <c r="C12" s="16" t="s">
        <v>74</v>
      </c>
      <c r="D12" s="16" t="s">
        <v>81</v>
      </c>
      <c r="E12" s="20" t="s">
        <v>86</v>
      </c>
      <c r="F12" s="15">
        <v>30</v>
      </c>
      <c r="G12" s="13" t="s">
        <v>234</v>
      </c>
      <c r="H12" s="36"/>
      <c r="I12" s="13" t="s">
        <v>240</v>
      </c>
      <c r="J12" s="36"/>
      <c r="K12" s="13"/>
      <c r="L12" s="15" t="s">
        <v>62</v>
      </c>
      <c r="M12" s="17" t="s">
        <v>260</v>
      </c>
      <c r="N12" s="6"/>
    </row>
    <row r="13" spans="1:14" ht="15" customHeight="1" x14ac:dyDescent="0.35">
      <c r="A13" s="15">
        <v>9</v>
      </c>
      <c r="B13" s="16" t="s">
        <v>87</v>
      </c>
      <c r="C13" s="16" t="s">
        <v>68</v>
      </c>
      <c r="D13" s="16" t="s">
        <v>88</v>
      </c>
      <c r="E13" s="15" t="s">
        <v>86</v>
      </c>
      <c r="F13" s="15">
        <v>30</v>
      </c>
      <c r="G13" s="13" t="s">
        <v>264</v>
      </c>
      <c r="H13" s="36"/>
      <c r="I13" s="13" t="s">
        <v>266</v>
      </c>
      <c r="J13" s="36"/>
      <c r="K13" s="13"/>
      <c r="L13" s="15" t="s">
        <v>62</v>
      </c>
      <c r="M13" s="17" t="s">
        <v>276</v>
      </c>
      <c r="N13" s="6"/>
    </row>
    <row r="14" spans="1:14" ht="15" customHeight="1" x14ac:dyDescent="0.35">
      <c r="A14" s="15">
        <v>10</v>
      </c>
      <c r="B14" s="16" t="s">
        <v>91</v>
      </c>
      <c r="C14" s="16" t="s">
        <v>71</v>
      </c>
      <c r="D14" s="16" t="s">
        <v>90</v>
      </c>
      <c r="E14" s="15" t="s">
        <v>258</v>
      </c>
      <c r="F14" s="15">
        <v>30</v>
      </c>
      <c r="G14" s="13" t="s">
        <v>265</v>
      </c>
      <c r="H14" s="36"/>
      <c r="I14" s="13" t="s">
        <v>267</v>
      </c>
      <c r="J14" s="36"/>
      <c r="K14" s="13"/>
      <c r="L14" s="15" t="s">
        <v>62</v>
      </c>
      <c r="M14" s="17" t="s">
        <v>268</v>
      </c>
      <c r="N14" s="6"/>
    </row>
    <row r="15" spans="1:14" ht="15" customHeight="1" x14ac:dyDescent="0.35">
      <c r="A15" s="15">
        <v>11</v>
      </c>
      <c r="B15" s="16" t="s">
        <v>101</v>
      </c>
      <c r="C15" s="16" t="s">
        <v>71</v>
      </c>
      <c r="D15" s="16" t="s">
        <v>99</v>
      </c>
      <c r="E15" s="15" t="s">
        <v>258</v>
      </c>
      <c r="F15" s="15">
        <v>30</v>
      </c>
      <c r="G15" s="13" t="s">
        <v>272</v>
      </c>
      <c r="H15" s="36"/>
      <c r="I15" s="13" t="s">
        <v>274</v>
      </c>
      <c r="J15" s="36"/>
      <c r="K15" s="13"/>
      <c r="L15" s="15" t="s">
        <v>62</v>
      </c>
      <c r="M15" s="17" t="s">
        <v>273</v>
      </c>
      <c r="N15" s="6"/>
    </row>
    <row r="16" spans="1:14" ht="15" customHeight="1" x14ac:dyDescent="0.35">
      <c r="A16" s="15"/>
      <c r="B16" s="16"/>
      <c r="C16" s="16"/>
      <c r="D16" s="16"/>
      <c r="E16" s="15"/>
      <c r="F16" s="15"/>
      <c r="G16" s="28"/>
      <c r="H16" s="29"/>
      <c r="I16" s="28"/>
      <c r="J16" s="29"/>
      <c r="K16" s="28"/>
      <c r="L16" s="15"/>
      <c r="M16" s="15"/>
      <c r="N16" s="6"/>
    </row>
    <row r="17" spans="1:14" ht="15" customHeight="1" x14ac:dyDescent="0.35">
      <c r="A17" s="15"/>
      <c r="B17" s="16"/>
      <c r="C17" s="16"/>
      <c r="D17" s="16"/>
      <c r="E17" s="15"/>
      <c r="F17" s="15"/>
      <c r="G17" s="28"/>
      <c r="H17" s="29"/>
      <c r="I17" s="28"/>
      <c r="J17" s="29"/>
      <c r="K17" s="28"/>
      <c r="L17" s="15"/>
      <c r="M17" s="15"/>
      <c r="N17" s="6"/>
    </row>
    <row r="18" spans="1:14" ht="15" customHeight="1" x14ac:dyDescent="0.35">
      <c r="A18" s="15"/>
      <c r="B18" s="16"/>
      <c r="C18" s="16"/>
      <c r="D18" s="16"/>
      <c r="E18" s="15"/>
      <c r="F18" s="15"/>
      <c r="G18" s="28"/>
      <c r="H18" s="29"/>
      <c r="I18" s="28"/>
      <c r="J18" s="29"/>
      <c r="K18" s="28"/>
      <c r="L18" s="15"/>
      <c r="M18" s="15"/>
      <c r="N18" s="6"/>
    </row>
    <row r="19" spans="1:14" ht="15" customHeight="1" x14ac:dyDescent="0.35">
      <c r="A19" s="15"/>
      <c r="B19" s="16"/>
      <c r="C19" s="16"/>
      <c r="D19" s="16"/>
      <c r="E19" s="15"/>
      <c r="F19" s="15"/>
      <c r="G19" s="28"/>
      <c r="H19" s="30"/>
      <c r="I19" s="28"/>
      <c r="J19" s="30"/>
      <c r="K19" s="28"/>
      <c r="L19" s="15"/>
      <c r="M19" s="15"/>
      <c r="N19" s="6"/>
    </row>
  </sheetData>
  <autoFilter ref="A4:N19" xr:uid="{00000000-0009-0000-0000-000003000000}"/>
  <mergeCells count="2">
    <mergeCell ref="H8:H15"/>
    <mergeCell ref="J8:J15"/>
  </mergeCells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6000"/>
  </sheetPr>
  <dimension ref="A1:P36"/>
  <sheetViews>
    <sheetView tabSelected="1" zoomScaleNormal="100"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E30" sqref="E30"/>
    </sheetView>
  </sheetViews>
  <sheetFormatPr defaultColWidth="8.6328125" defaultRowHeight="14.5" x14ac:dyDescent="0.35"/>
  <cols>
    <col min="1" max="1" width="6" customWidth="1"/>
    <col min="2" max="2" width="22" customWidth="1"/>
    <col min="3" max="3" width="20" customWidth="1"/>
    <col min="4" max="5" width="16" customWidth="1"/>
    <col min="6" max="6" width="9" customWidth="1"/>
    <col min="7" max="8" width="17" customWidth="1"/>
    <col min="9" max="9" width="19" customWidth="1"/>
    <col min="10" max="10" width="17" customWidth="1"/>
    <col min="11" max="11" width="20" customWidth="1"/>
    <col min="12" max="12" width="26" customWidth="1"/>
    <col min="13" max="13" width="14" customWidth="1"/>
    <col min="14" max="14" width="44" customWidth="1"/>
  </cols>
  <sheetData>
    <row r="1" spans="1:14" ht="17.25" customHeight="1" x14ac:dyDescent="0.4">
      <c r="A1" s="1" t="s">
        <v>122</v>
      </c>
    </row>
    <row r="2" spans="1:14" ht="15" customHeight="1" x14ac:dyDescent="0.35">
      <c r="A2" s="9" t="s">
        <v>123</v>
      </c>
    </row>
    <row r="3" spans="1:14" ht="15" customHeight="1" x14ac:dyDescent="0.35">
      <c r="A3" s="2" t="s">
        <v>124</v>
      </c>
    </row>
    <row r="4" spans="1:14" ht="31.5" customHeight="1" x14ac:dyDescent="0.35">
      <c r="A4" s="3" t="s">
        <v>43</v>
      </c>
      <c r="B4" s="3" t="s">
        <v>125</v>
      </c>
      <c r="C4" s="3" t="s">
        <v>45</v>
      </c>
      <c r="D4" s="3" t="s">
        <v>126</v>
      </c>
      <c r="E4" s="3" t="s">
        <v>127</v>
      </c>
      <c r="F4" s="3" t="s">
        <v>2</v>
      </c>
      <c r="G4" s="3" t="s">
        <v>128</v>
      </c>
      <c r="H4" s="3" t="s">
        <v>7</v>
      </c>
      <c r="I4" s="3" t="s">
        <v>49</v>
      </c>
      <c r="J4" s="3" t="s">
        <v>50</v>
      </c>
      <c r="K4" s="3" t="s">
        <v>129</v>
      </c>
      <c r="L4" s="3" t="s">
        <v>130</v>
      </c>
      <c r="M4" s="3" t="s">
        <v>131</v>
      </c>
      <c r="N4" s="3" t="s">
        <v>19</v>
      </c>
    </row>
    <row r="5" spans="1:14" ht="15" customHeight="1" x14ac:dyDescent="0.35">
      <c r="A5" s="11">
        <v>1</v>
      </c>
      <c r="B5" s="12" t="s">
        <v>53</v>
      </c>
      <c r="C5" s="12" t="s">
        <v>54</v>
      </c>
      <c r="D5" s="12" t="s">
        <v>132</v>
      </c>
      <c r="E5" s="12" t="s">
        <v>133</v>
      </c>
      <c r="F5" s="11">
        <v>99</v>
      </c>
      <c r="G5" s="13"/>
      <c r="H5" s="13"/>
      <c r="I5" s="13"/>
      <c r="J5" s="13"/>
      <c r="K5" s="12" t="s">
        <v>55</v>
      </c>
      <c r="L5" s="12" t="s">
        <v>132</v>
      </c>
      <c r="M5" s="11" t="s">
        <v>132</v>
      </c>
      <c r="N5" s="12" t="s">
        <v>134</v>
      </c>
    </row>
    <row r="6" spans="1:14" ht="15" customHeight="1" x14ac:dyDescent="0.35">
      <c r="A6" s="15">
        <v>2</v>
      </c>
      <c r="B6" s="16" t="s">
        <v>135</v>
      </c>
      <c r="C6" s="16" t="s">
        <v>136</v>
      </c>
      <c r="D6" s="16" t="s">
        <v>137</v>
      </c>
      <c r="E6" s="16" t="s">
        <v>138</v>
      </c>
      <c r="F6" s="15">
        <v>99</v>
      </c>
      <c r="G6" s="13" t="s">
        <v>284</v>
      </c>
      <c r="H6" s="13" t="s">
        <v>208</v>
      </c>
      <c r="I6" s="13"/>
      <c r="J6" s="13"/>
      <c r="K6" s="16" t="s">
        <v>61</v>
      </c>
      <c r="L6" s="16" t="s">
        <v>139</v>
      </c>
      <c r="M6" s="15" t="s">
        <v>140</v>
      </c>
      <c r="N6" s="16"/>
    </row>
    <row r="7" spans="1:14" ht="15" customHeight="1" x14ac:dyDescent="0.35">
      <c r="A7" s="15">
        <v>3</v>
      </c>
      <c r="B7" s="16" t="s">
        <v>139</v>
      </c>
      <c r="C7" s="16" t="s">
        <v>136</v>
      </c>
      <c r="D7" s="16" t="s">
        <v>137</v>
      </c>
      <c r="E7" s="16" t="s">
        <v>138</v>
      </c>
      <c r="F7" s="15">
        <v>99</v>
      </c>
      <c r="G7" s="13" t="s">
        <v>285</v>
      </c>
      <c r="H7" s="13" t="s">
        <v>208</v>
      </c>
      <c r="I7" s="13"/>
      <c r="J7" s="13" t="s">
        <v>284</v>
      </c>
      <c r="K7" s="16" t="s">
        <v>65</v>
      </c>
      <c r="L7" s="16" t="s">
        <v>135</v>
      </c>
      <c r="M7" s="15" t="s">
        <v>140</v>
      </c>
      <c r="N7" s="16"/>
    </row>
    <row r="8" spans="1:14" ht="15" customHeight="1" x14ac:dyDescent="0.35">
      <c r="A8" s="15">
        <v>4</v>
      </c>
      <c r="B8" s="16" t="s">
        <v>61</v>
      </c>
      <c r="C8" s="16" t="s">
        <v>136</v>
      </c>
      <c r="D8" s="16" t="s">
        <v>137</v>
      </c>
      <c r="E8" s="16" t="s">
        <v>141</v>
      </c>
      <c r="F8" s="15">
        <v>99</v>
      </c>
      <c r="G8" s="13" t="s">
        <v>286</v>
      </c>
      <c r="H8" s="13" t="s">
        <v>208</v>
      </c>
      <c r="I8" s="13"/>
      <c r="J8" s="13" t="s">
        <v>284</v>
      </c>
      <c r="K8" s="16" t="s">
        <v>135</v>
      </c>
      <c r="L8" s="16" t="s">
        <v>142</v>
      </c>
      <c r="M8" s="15" t="s">
        <v>140</v>
      </c>
      <c r="N8" s="16" t="s">
        <v>143</v>
      </c>
    </row>
    <row r="9" spans="1:14" ht="15" customHeight="1" x14ac:dyDescent="0.35">
      <c r="A9" s="15">
        <v>5</v>
      </c>
      <c r="B9" s="16" t="s">
        <v>65</v>
      </c>
      <c r="C9" s="16" t="s">
        <v>136</v>
      </c>
      <c r="D9" s="16" t="s">
        <v>137</v>
      </c>
      <c r="E9" s="16" t="s">
        <v>141</v>
      </c>
      <c r="F9" s="15">
        <v>99</v>
      </c>
      <c r="G9" s="13" t="s">
        <v>287</v>
      </c>
      <c r="H9" s="13" t="s">
        <v>208</v>
      </c>
      <c r="I9" s="13"/>
      <c r="J9" s="13" t="s">
        <v>284</v>
      </c>
      <c r="K9" s="16" t="s">
        <v>139</v>
      </c>
      <c r="L9" s="16" t="s">
        <v>144</v>
      </c>
      <c r="M9" s="15" t="s">
        <v>140</v>
      </c>
      <c r="N9" s="16" t="s">
        <v>145</v>
      </c>
    </row>
    <row r="10" spans="1:14" ht="15" customHeight="1" x14ac:dyDescent="0.35">
      <c r="A10" s="15">
        <v>6</v>
      </c>
      <c r="B10" s="16" t="s">
        <v>146</v>
      </c>
      <c r="C10" s="16" t="s">
        <v>147</v>
      </c>
      <c r="D10" s="16" t="s">
        <v>137</v>
      </c>
      <c r="E10" s="16" t="s">
        <v>148</v>
      </c>
      <c r="F10" s="15">
        <v>99</v>
      </c>
      <c r="G10" s="13" t="s">
        <v>288</v>
      </c>
      <c r="H10" s="13" t="s">
        <v>208</v>
      </c>
      <c r="I10" s="13"/>
      <c r="J10" s="13" t="s">
        <v>284</v>
      </c>
      <c r="K10" s="16" t="s">
        <v>61</v>
      </c>
      <c r="L10" s="16" t="s">
        <v>149</v>
      </c>
      <c r="M10" s="15" t="s">
        <v>140</v>
      </c>
      <c r="N10" s="16"/>
    </row>
    <row r="11" spans="1:14" ht="15" customHeight="1" x14ac:dyDescent="0.35">
      <c r="A11" s="15">
        <v>7</v>
      </c>
      <c r="B11" s="16" t="s">
        <v>150</v>
      </c>
      <c r="C11" s="16" t="s">
        <v>147</v>
      </c>
      <c r="D11" s="16" t="s">
        <v>137</v>
      </c>
      <c r="E11" s="16" t="s">
        <v>148</v>
      </c>
      <c r="F11" s="15">
        <v>99</v>
      </c>
      <c r="G11" s="13" t="s">
        <v>289</v>
      </c>
      <c r="H11" s="13" t="s">
        <v>208</v>
      </c>
      <c r="I11" s="13"/>
      <c r="J11" s="13" t="s">
        <v>284</v>
      </c>
      <c r="K11" s="16" t="s">
        <v>65</v>
      </c>
      <c r="L11" s="16" t="s">
        <v>151</v>
      </c>
      <c r="M11" s="15" t="s">
        <v>140</v>
      </c>
      <c r="N11" s="16"/>
    </row>
    <row r="12" spans="1:14" ht="15" customHeight="1" x14ac:dyDescent="0.35">
      <c r="A12" s="15">
        <v>8</v>
      </c>
      <c r="B12" s="16" t="s">
        <v>152</v>
      </c>
      <c r="C12" s="16" t="s">
        <v>147</v>
      </c>
      <c r="D12" s="16" t="s">
        <v>137</v>
      </c>
      <c r="E12" s="16" t="s">
        <v>148</v>
      </c>
      <c r="F12" s="15">
        <v>99</v>
      </c>
      <c r="G12" s="13" t="s">
        <v>290</v>
      </c>
      <c r="H12" s="13" t="s">
        <v>208</v>
      </c>
      <c r="I12" s="13"/>
      <c r="J12" s="13" t="s">
        <v>284</v>
      </c>
      <c r="K12" s="16" t="s">
        <v>146</v>
      </c>
      <c r="L12" s="16" t="s">
        <v>153</v>
      </c>
      <c r="M12" s="15" t="s">
        <v>140</v>
      </c>
      <c r="N12" s="16"/>
    </row>
    <row r="13" spans="1:14" ht="15" customHeight="1" x14ac:dyDescent="0.35">
      <c r="A13" s="15">
        <v>9</v>
      </c>
      <c r="B13" s="16" t="s">
        <v>153</v>
      </c>
      <c r="C13" s="16" t="s">
        <v>147</v>
      </c>
      <c r="D13" s="16" t="s">
        <v>137</v>
      </c>
      <c r="E13" s="16" t="s">
        <v>148</v>
      </c>
      <c r="F13" s="15">
        <v>99</v>
      </c>
      <c r="G13" s="13" t="s">
        <v>291</v>
      </c>
      <c r="H13" s="13" t="s">
        <v>208</v>
      </c>
      <c r="I13" s="13"/>
      <c r="J13" s="13" t="s">
        <v>284</v>
      </c>
      <c r="K13" s="16" t="s">
        <v>152</v>
      </c>
      <c r="L13" s="16" t="s">
        <v>150</v>
      </c>
      <c r="M13" s="15" t="s">
        <v>140</v>
      </c>
      <c r="N13" s="16"/>
    </row>
    <row r="14" spans="1:14" ht="15" customHeight="1" x14ac:dyDescent="0.35">
      <c r="A14" s="15">
        <v>10</v>
      </c>
      <c r="B14" s="16" t="s">
        <v>154</v>
      </c>
      <c r="C14" s="16" t="s">
        <v>147</v>
      </c>
      <c r="D14" s="16" t="s">
        <v>137</v>
      </c>
      <c r="E14" s="16" t="s">
        <v>148</v>
      </c>
      <c r="F14" s="15">
        <v>99</v>
      </c>
      <c r="G14" s="13" t="s">
        <v>292</v>
      </c>
      <c r="H14" s="13" t="s">
        <v>208</v>
      </c>
      <c r="I14" s="13"/>
      <c r="J14" s="13" t="s">
        <v>284</v>
      </c>
      <c r="K14" s="16" t="s">
        <v>61</v>
      </c>
      <c r="L14" s="16" t="s">
        <v>155</v>
      </c>
      <c r="M14" s="15" t="s">
        <v>140</v>
      </c>
      <c r="N14" s="16"/>
    </row>
    <row r="15" spans="1:14" ht="15" customHeight="1" x14ac:dyDescent="0.35">
      <c r="A15" s="15">
        <v>11</v>
      </c>
      <c r="B15" s="16" t="s">
        <v>156</v>
      </c>
      <c r="C15" s="16" t="s">
        <v>147</v>
      </c>
      <c r="D15" s="16" t="s">
        <v>137</v>
      </c>
      <c r="E15" s="16" t="s">
        <v>148</v>
      </c>
      <c r="F15" s="15">
        <v>99</v>
      </c>
      <c r="G15" s="13" t="s">
        <v>293</v>
      </c>
      <c r="H15" s="13" t="s">
        <v>208</v>
      </c>
      <c r="I15" s="13"/>
      <c r="J15" s="13" t="s">
        <v>284</v>
      </c>
      <c r="K15" s="16" t="s">
        <v>65</v>
      </c>
      <c r="L15" s="16" t="s">
        <v>157</v>
      </c>
      <c r="M15" s="15" t="s">
        <v>140</v>
      </c>
      <c r="N15" s="16"/>
    </row>
    <row r="16" spans="1:14" ht="15" customHeight="1" x14ac:dyDescent="0.35">
      <c r="A16" s="15">
        <v>12</v>
      </c>
      <c r="B16" s="16" t="s">
        <v>158</v>
      </c>
      <c r="C16" s="16" t="s">
        <v>147</v>
      </c>
      <c r="D16" s="16" t="s">
        <v>137</v>
      </c>
      <c r="E16" s="16" t="s">
        <v>148</v>
      </c>
      <c r="F16" s="15">
        <v>99</v>
      </c>
      <c r="G16" s="13" t="s">
        <v>294</v>
      </c>
      <c r="H16" s="13" t="s">
        <v>208</v>
      </c>
      <c r="I16" s="13"/>
      <c r="J16" s="13" t="s">
        <v>284</v>
      </c>
      <c r="K16" s="16" t="s">
        <v>154</v>
      </c>
      <c r="L16" s="16" t="s">
        <v>159</v>
      </c>
      <c r="M16" s="15" t="s">
        <v>140</v>
      </c>
      <c r="N16" s="16"/>
    </row>
    <row r="17" spans="1:16" ht="15" customHeight="1" x14ac:dyDescent="0.35">
      <c r="A17" s="15">
        <v>13</v>
      </c>
      <c r="B17" s="16" t="s">
        <v>159</v>
      </c>
      <c r="C17" s="16" t="s">
        <v>147</v>
      </c>
      <c r="D17" s="16" t="s">
        <v>137</v>
      </c>
      <c r="E17" s="16" t="s">
        <v>148</v>
      </c>
      <c r="F17" s="15">
        <v>99</v>
      </c>
      <c r="G17" s="13" t="s">
        <v>295</v>
      </c>
      <c r="H17" s="13" t="s">
        <v>208</v>
      </c>
      <c r="I17" s="13"/>
      <c r="J17" s="13" t="s">
        <v>284</v>
      </c>
      <c r="K17" s="16" t="s">
        <v>158</v>
      </c>
      <c r="L17" s="16" t="s">
        <v>156</v>
      </c>
      <c r="M17" s="15" t="s">
        <v>140</v>
      </c>
      <c r="N17" s="16"/>
    </row>
    <row r="18" spans="1:16" ht="15" customHeight="1" x14ac:dyDescent="0.35">
      <c r="A18" s="15">
        <v>14</v>
      </c>
      <c r="B18" s="16" t="s">
        <v>69</v>
      </c>
      <c r="C18" s="16" t="s">
        <v>160</v>
      </c>
      <c r="D18" s="16" t="s">
        <v>161</v>
      </c>
      <c r="E18" s="16" t="s">
        <v>162</v>
      </c>
      <c r="F18" s="15">
        <v>99</v>
      </c>
      <c r="G18" s="13" t="s">
        <v>296</v>
      </c>
      <c r="H18" s="13" t="s">
        <v>208</v>
      </c>
      <c r="I18" s="13"/>
      <c r="J18" s="13" t="s">
        <v>284</v>
      </c>
      <c r="K18" s="16" t="s">
        <v>146</v>
      </c>
      <c r="L18" s="16" t="s">
        <v>75</v>
      </c>
      <c r="M18" s="15" t="s">
        <v>140</v>
      </c>
      <c r="N18" s="16"/>
    </row>
    <row r="19" spans="1:16" ht="15" customHeight="1" x14ac:dyDescent="0.35">
      <c r="A19" s="15">
        <v>15</v>
      </c>
      <c r="B19" s="16" t="s">
        <v>75</v>
      </c>
      <c r="C19" s="16" t="s">
        <v>160</v>
      </c>
      <c r="D19" s="16" t="s">
        <v>161</v>
      </c>
      <c r="E19" s="16" t="s">
        <v>162</v>
      </c>
      <c r="F19" s="15">
        <v>99</v>
      </c>
      <c r="G19" s="13" t="s">
        <v>297</v>
      </c>
      <c r="H19" s="13" t="s">
        <v>208</v>
      </c>
      <c r="I19" s="13"/>
      <c r="J19" s="13" t="s">
        <v>284</v>
      </c>
      <c r="K19" s="16" t="s">
        <v>69</v>
      </c>
      <c r="L19" s="16" t="s">
        <v>114</v>
      </c>
      <c r="M19" s="15" t="s">
        <v>140</v>
      </c>
      <c r="N19" s="16"/>
    </row>
    <row r="20" spans="1:16" ht="15" customHeight="1" x14ac:dyDescent="0.35">
      <c r="A20" s="15">
        <v>16</v>
      </c>
      <c r="B20" s="16" t="s">
        <v>114</v>
      </c>
      <c r="C20" s="16" t="s">
        <v>160</v>
      </c>
      <c r="D20" s="16" t="s">
        <v>161</v>
      </c>
      <c r="E20" s="16" t="s">
        <v>162</v>
      </c>
      <c r="F20" s="15">
        <v>99</v>
      </c>
      <c r="G20" s="13" t="s">
        <v>298</v>
      </c>
      <c r="H20" s="13" t="s">
        <v>208</v>
      </c>
      <c r="I20" s="13"/>
      <c r="J20" s="13" t="s">
        <v>284</v>
      </c>
      <c r="K20" s="16" t="s">
        <v>150</v>
      </c>
      <c r="L20" s="16" t="s">
        <v>75</v>
      </c>
      <c r="M20" s="15" t="s">
        <v>140</v>
      </c>
      <c r="N20" s="16"/>
    </row>
    <row r="21" spans="1:16" ht="15" customHeight="1" x14ac:dyDescent="0.35">
      <c r="A21" s="15">
        <v>17</v>
      </c>
      <c r="B21" s="16" t="s">
        <v>78</v>
      </c>
      <c r="C21" s="16" t="s">
        <v>160</v>
      </c>
      <c r="D21" s="16" t="s">
        <v>161</v>
      </c>
      <c r="E21" s="16" t="s">
        <v>162</v>
      </c>
      <c r="F21" s="15">
        <v>99</v>
      </c>
      <c r="G21" s="13" t="s">
        <v>299</v>
      </c>
      <c r="H21" s="13" t="s">
        <v>208</v>
      </c>
      <c r="I21" s="13"/>
      <c r="J21" s="13" t="s">
        <v>284</v>
      </c>
      <c r="K21" s="16" t="s">
        <v>146</v>
      </c>
      <c r="L21" s="16" t="s">
        <v>81</v>
      </c>
      <c r="M21" s="15" t="s">
        <v>140</v>
      </c>
      <c r="N21" s="16"/>
    </row>
    <row r="22" spans="1:16" ht="15" customHeight="1" x14ac:dyDescent="0.35">
      <c r="A22" s="15">
        <v>18</v>
      </c>
      <c r="B22" s="16" t="s">
        <v>81</v>
      </c>
      <c r="C22" s="16" t="s">
        <v>160</v>
      </c>
      <c r="D22" s="16" t="s">
        <v>161</v>
      </c>
      <c r="E22" s="16" t="s">
        <v>162</v>
      </c>
      <c r="F22" s="15">
        <v>99</v>
      </c>
      <c r="G22" s="13" t="s">
        <v>300</v>
      </c>
      <c r="H22" s="13" t="s">
        <v>208</v>
      </c>
      <c r="I22" s="13"/>
      <c r="J22" s="13" t="s">
        <v>284</v>
      </c>
      <c r="K22" s="16" t="s">
        <v>150</v>
      </c>
      <c r="L22" s="16" t="s">
        <v>78</v>
      </c>
      <c r="M22" s="15" t="s">
        <v>140</v>
      </c>
      <c r="N22" s="16"/>
    </row>
    <row r="23" spans="1:16" ht="15" customHeight="1" x14ac:dyDescent="0.35">
      <c r="A23" s="15">
        <v>19</v>
      </c>
      <c r="B23" s="16" t="s">
        <v>90</v>
      </c>
      <c r="C23" s="16" t="s">
        <v>160</v>
      </c>
      <c r="D23" s="16" t="s">
        <v>161</v>
      </c>
      <c r="E23" s="16" t="s">
        <v>162</v>
      </c>
      <c r="F23" s="15">
        <v>99</v>
      </c>
      <c r="G23" s="13" t="s">
        <v>301</v>
      </c>
      <c r="H23" s="13" t="s">
        <v>208</v>
      </c>
      <c r="I23" s="13"/>
      <c r="J23" s="13" t="s">
        <v>284</v>
      </c>
      <c r="K23" s="16" t="s">
        <v>154</v>
      </c>
      <c r="L23" s="16" t="s">
        <v>99</v>
      </c>
      <c r="M23" s="15" t="s">
        <v>140</v>
      </c>
      <c r="N23" s="16"/>
    </row>
    <row r="24" spans="1:16" ht="15" customHeight="1" x14ac:dyDescent="0.35">
      <c r="A24" s="15">
        <v>20</v>
      </c>
      <c r="B24" s="16" t="s">
        <v>99</v>
      </c>
      <c r="C24" s="16" t="s">
        <v>160</v>
      </c>
      <c r="D24" s="16" t="s">
        <v>161</v>
      </c>
      <c r="E24" s="16" t="s">
        <v>162</v>
      </c>
      <c r="F24" s="15">
        <v>99</v>
      </c>
      <c r="G24" s="13" t="s">
        <v>302</v>
      </c>
      <c r="H24" s="13" t="s">
        <v>208</v>
      </c>
      <c r="I24" s="13"/>
      <c r="J24" s="13" t="s">
        <v>284</v>
      </c>
      <c r="K24" s="16" t="s">
        <v>156</v>
      </c>
      <c r="L24" s="16" t="s">
        <v>90</v>
      </c>
      <c r="M24" s="15" t="s">
        <v>140</v>
      </c>
      <c r="N24" s="16"/>
    </row>
    <row r="25" spans="1:16" ht="15" customHeight="1" x14ac:dyDescent="0.35">
      <c r="A25" s="15">
        <v>21</v>
      </c>
      <c r="B25" s="16" t="s">
        <v>88</v>
      </c>
      <c r="C25" s="16" t="s">
        <v>160</v>
      </c>
      <c r="D25" s="16" t="s">
        <v>161</v>
      </c>
      <c r="E25" s="16" t="s">
        <v>162</v>
      </c>
      <c r="F25" s="15">
        <v>99</v>
      </c>
      <c r="G25" s="13" t="s">
        <v>303</v>
      </c>
      <c r="H25" s="13" t="s">
        <v>208</v>
      </c>
      <c r="I25" s="13"/>
      <c r="J25" s="13" t="s">
        <v>284</v>
      </c>
      <c r="K25" s="16" t="s">
        <v>154</v>
      </c>
      <c r="L25" s="16" t="s">
        <v>93</v>
      </c>
      <c r="M25" s="15" t="s">
        <v>140</v>
      </c>
      <c r="N25" s="16"/>
    </row>
    <row r="26" spans="1:16" ht="15" customHeight="1" x14ac:dyDescent="0.35">
      <c r="A26" s="15">
        <v>22</v>
      </c>
      <c r="B26" s="16" t="s">
        <v>93</v>
      </c>
      <c r="C26" s="16" t="s">
        <v>160</v>
      </c>
      <c r="D26" s="16" t="s">
        <v>161</v>
      </c>
      <c r="E26" s="16" t="s">
        <v>162</v>
      </c>
      <c r="F26" s="15">
        <v>99</v>
      </c>
      <c r="G26" s="13" t="s">
        <v>304</v>
      </c>
      <c r="H26" s="13" t="s">
        <v>208</v>
      </c>
      <c r="I26" s="13"/>
      <c r="J26" s="13" t="s">
        <v>284</v>
      </c>
      <c r="K26" s="16" t="s">
        <v>88</v>
      </c>
      <c r="L26" s="16" t="s">
        <v>96</v>
      </c>
      <c r="M26" s="15" t="s">
        <v>140</v>
      </c>
      <c r="N26" s="16"/>
    </row>
    <row r="27" spans="1:16" ht="15" customHeight="1" x14ac:dyDescent="0.35">
      <c r="A27" s="15">
        <v>23</v>
      </c>
      <c r="B27" s="16" t="s">
        <v>96</v>
      </c>
      <c r="C27" s="16" t="s">
        <v>160</v>
      </c>
      <c r="D27" s="16" t="s">
        <v>161</v>
      </c>
      <c r="E27" s="16" t="s">
        <v>162</v>
      </c>
      <c r="F27" s="15">
        <v>99</v>
      </c>
      <c r="G27" s="13" t="s">
        <v>305</v>
      </c>
      <c r="H27" s="13" t="s">
        <v>208</v>
      </c>
      <c r="I27" s="13"/>
      <c r="J27" s="13" t="s">
        <v>284</v>
      </c>
      <c r="K27" s="16" t="s">
        <v>156</v>
      </c>
      <c r="L27" s="16" t="s">
        <v>93</v>
      </c>
      <c r="M27" s="15" t="s">
        <v>140</v>
      </c>
      <c r="N27" s="16"/>
    </row>
    <row r="28" spans="1:16" ht="15" customHeight="1" x14ac:dyDescent="0.35">
      <c r="A28" s="31">
        <v>24</v>
      </c>
      <c r="B28" s="32" t="s">
        <v>84</v>
      </c>
      <c r="C28" s="32" t="s">
        <v>163</v>
      </c>
      <c r="D28" s="32" t="s">
        <v>164</v>
      </c>
      <c r="E28" s="32" t="s">
        <v>165</v>
      </c>
      <c r="F28" s="31">
        <v>99</v>
      </c>
      <c r="G28" s="33"/>
      <c r="H28" s="33"/>
      <c r="I28" s="33"/>
      <c r="J28" s="33"/>
      <c r="K28" s="32" t="s">
        <v>81</v>
      </c>
      <c r="L28" s="32" t="s">
        <v>132</v>
      </c>
      <c r="M28" s="31" t="s">
        <v>140</v>
      </c>
      <c r="N28" s="32" t="s">
        <v>166</v>
      </c>
      <c r="O28" s="26"/>
      <c r="P28" s="34" t="s">
        <v>306</v>
      </c>
    </row>
    <row r="29" spans="1:16" ht="15" customHeight="1" x14ac:dyDescent="0.35">
      <c r="A29" s="27">
        <v>25</v>
      </c>
      <c r="B29" s="38" t="s">
        <v>307</v>
      </c>
      <c r="C29" s="38" t="s">
        <v>68</v>
      </c>
      <c r="D29" s="38" t="s">
        <v>132</v>
      </c>
      <c r="E29" s="38" t="s">
        <v>311</v>
      </c>
      <c r="F29" s="27">
        <v>99</v>
      </c>
      <c r="G29" s="39" t="s">
        <v>308</v>
      </c>
      <c r="H29" s="39" t="s">
        <v>208</v>
      </c>
      <c r="I29" s="39"/>
      <c r="J29" s="39" t="s">
        <v>284</v>
      </c>
      <c r="K29" s="38" t="s">
        <v>309</v>
      </c>
      <c r="L29" s="38" t="s">
        <v>132</v>
      </c>
      <c r="M29" s="27" t="s">
        <v>140</v>
      </c>
      <c r="N29" s="38" t="s">
        <v>310</v>
      </c>
    </row>
    <row r="30" spans="1:16" ht="15" customHeight="1" x14ac:dyDescent="0.35">
      <c r="A30" s="15"/>
      <c r="B30" s="16"/>
      <c r="C30" s="16"/>
      <c r="D30" s="16"/>
      <c r="E30" s="16"/>
      <c r="F30" s="15"/>
      <c r="G30" s="13"/>
      <c r="H30" s="13"/>
      <c r="I30" s="13"/>
      <c r="J30" s="13"/>
      <c r="K30" s="16"/>
      <c r="L30" s="16"/>
      <c r="M30" s="15"/>
      <c r="N30" s="16"/>
    </row>
    <row r="31" spans="1:16" ht="15" customHeight="1" x14ac:dyDescent="0.35">
      <c r="A31" s="15"/>
      <c r="B31" s="16"/>
      <c r="C31" s="16"/>
      <c r="D31" s="16"/>
      <c r="E31" s="16"/>
      <c r="F31" s="15"/>
      <c r="G31" s="13"/>
      <c r="H31" s="13"/>
      <c r="I31" s="13"/>
      <c r="J31" s="13"/>
      <c r="K31" s="16"/>
      <c r="L31" s="16"/>
      <c r="M31" s="15"/>
      <c r="N31" s="16"/>
    </row>
    <row r="32" spans="1:16" ht="15" customHeight="1" x14ac:dyDescent="0.35">
      <c r="A32" s="15"/>
      <c r="B32" s="16"/>
      <c r="C32" s="16"/>
      <c r="D32" s="16"/>
      <c r="E32" s="16"/>
      <c r="F32" s="15"/>
      <c r="G32" s="13"/>
      <c r="H32" s="13"/>
      <c r="I32" s="13"/>
      <c r="J32" s="13"/>
      <c r="K32" s="16"/>
      <c r="L32" s="16"/>
      <c r="M32" s="15"/>
      <c r="N32" s="16"/>
    </row>
    <row r="33" spans="1:14" ht="15" customHeight="1" x14ac:dyDescent="0.35">
      <c r="A33" s="15"/>
      <c r="B33" s="16"/>
      <c r="C33" s="16"/>
      <c r="D33" s="16"/>
      <c r="E33" s="16"/>
      <c r="F33" s="15"/>
      <c r="G33" s="13"/>
      <c r="H33" s="13"/>
      <c r="I33" s="13"/>
      <c r="J33" s="13"/>
      <c r="K33" s="16"/>
      <c r="L33" s="16"/>
      <c r="M33" s="15"/>
      <c r="N33" s="16"/>
    </row>
    <row r="34" spans="1:14" ht="15" customHeight="1" x14ac:dyDescent="0.35">
      <c r="A34" s="15"/>
      <c r="B34" s="16"/>
      <c r="C34" s="16"/>
      <c r="D34" s="16"/>
      <c r="E34" s="16"/>
      <c r="F34" s="15"/>
      <c r="G34" s="13"/>
      <c r="H34" s="13"/>
      <c r="I34" s="13"/>
      <c r="J34" s="13"/>
      <c r="K34" s="16"/>
      <c r="L34" s="16"/>
      <c r="M34" s="15"/>
      <c r="N34" s="16"/>
    </row>
    <row r="35" spans="1:14" ht="15" customHeight="1" x14ac:dyDescent="0.35">
      <c r="A35" s="15"/>
      <c r="B35" s="16"/>
      <c r="C35" s="16"/>
      <c r="D35" s="16"/>
      <c r="E35" s="16"/>
      <c r="F35" s="15"/>
      <c r="G35" s="13"/>
      <c r="H35" s="13"/>
      <c r="I35" s="13"/>
      <c r="J35" s="13"/>
      <c r="K35" s="16"/>
      <c r="L35" s="16"/>
      <c r="M35" s="15"/>
      <c r="N35" s="16"/>
    </row>
    <row r="36" spans="1:14" ht="15" customHeight="1" x14ac:dyDescent="0.35">
      <c r="A36" s="15"/>
      <c r="B36" s="16"/>
      <c r="C36" s="16"/>
      <c r="D36" s="16"/>
      <c r="E36" s="16"/>
      <c r="F36" s="15"/>
      <c r="G36" s="13"/>
      <c r="H36" s="13"/>
      <c r="I36" s="13"/>
      <c r="J36" s="13"/>
      <c r="K36" s="16"/>
      <c r="L36" s="16"/>
      <c r="M36" s="15"/>
      <c r="N36" s="16"/>
    </row>
  </sheetData>
  <autoFilter ref="A4:N36" xr:uid="{00000000-0009-0000-0000-000004000000}"/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N2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 x14ac:dyDescent="0.35"/>
  <cols>
    <col min="1" max="1" width="6" customWidth="1"/>
    <col min="2" max="3" width="22" customWidth="1"/>
    <col min="4" max="4" width="24" customWidth="1"/>
    <col min="5" max="5" width="14" customWidth="1"/>
    <col min="6" max="6" width="9" customWidth="1"/>
    <col min="7" max="8" width="17" customWidth="1"/>
    <col min="9" max="9" width="19" customWidth="1"/>
    <col min="10" max="10" width="17" customWidth="1"/>
    <col min="11" max="11" width="16" customWidth="1"/>
    <col min="12" max="12" width="20" customWidth="1"/>
    <col min="13" max="13" width="18" customWidth="1"/>
    <col min="14" max="14" width="42" customWidth="1"/>
  </cols>
  <sheetData>
    <row r="1" spans="1:14" ht="17.25" customHeight="1" x14ac:dyDescent="0.4">
      <c r="A1" s="1" t="s">
        <v>167</v>
      </c>
    </row>
    <row r="2" spans="1:14" ht="15" customHeight="1" x14ac:dyDescent="0.35">
      <c r="A2" s="9" t="s">
        <v>168</v>
      </c>
    </row>
    <row r="3" spans="1:14" ht="15" customHeight="1" x14ac:dyDescent="0.35">
      <c r="A3" s="2" t="s">
        <v>42</v>
      </c>
    </row>
    <row r="4" spans="1:14" ht="31.5" customHeight="1" x14ac:dyDescent="0.35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2</v>
      </c>
      <c r="G4" s="3" t="s">
        <v>48</v>
      </c>
      <c r="H4" s="3" t="s">
        <v>7</v>
      </c>
      <c r="I4" s="3" t="s">
        <v>49</v>
      </c>
      <c r="J4" s="3" t="s">
        <v>50</v>
      </c>
      <c r="K4" s="3" t="s">
        <v>17</v>
      </c>
      <c r="L4" s="3" t="s">
        <v>51</v>
      </c>
      <c r="M4" s="3" t="s">
        <v>52</v>
      </c>
      <c r="N4" s="3" t="s">
        <v>19</v>
      </c>
    </row>
    <row r="5" spans="1:14" ht="23.25" customHeight="1" x14ac:dyDescent="0.35">
      <c r="A5" s="11">
        <v>1</v>
      </c>
      <c r="B5" s="12" t="s">
        <v>169</v>
      </c>
      <c r="C5" s="12" t="s">
        <v>170</v>
      </c>
      <c r="D5" s="12" t="s">
        <v>171</v>
      </c>
      <c r="E5" s="11" t="s">
        <v>172</v>
      </c>
      <c r="F5" s="11">
        <v>100</v>
      </c>
      <c r="G5" s="13"/>
      <c r="H5" s="13"/>
      <c r="I5" s="13"/>
      <c r="J5" s="13"/>
      <c r="K5" s="13"/>
      <c r="L5" s="11" t="s">
        <v>57</v>
      </c>
      <c r="M5" s="11"/>
      <c r="N5" s="14" t="s">
        <v>173</v>
      </c>
    </row>
    <row r="6" spans="1:14" ht="15" customHeight="1" x14ac:dyDescent="0.35">
      <c r="A6" s="11">
        <v>2</v>
      </c>
      <c r="B6" s="12" t="s">
        <v>174</v>
      </c>
      <c r="C6" s="12" t="s">
        <v>175</v>
      </c>
      <c r="D6" s="12" t="s">
        <v>135</v>
      </c>
      <c r="E6" s="11" t="s">
        <v>172</v>
      </c>
      <c r="F6" s="11">
        <v>100</v>
      </c>
      <c r="G6" s="13"/>
      <c r="H6" s="13"/>
      <c r="I6" s="13"/>
      <c r="J6" s="13"/>
      <c r="K6" s="13"/>
      <c r="L6" s="11" t="s">
        <v>62</v>
      </c>
      <c r="M6" s="11"/>
      <c r="N6" s="14" t="s">
        <v>176</v>
      </c>
    </row>
    <row r="7" spans="1:14" ht="15" customHeight="1" x14ac:dyDescent="0.35">
      <c r="A7" s="11">
        <v>3</v>
      </c>
      <c r="B7" s="12" t="s">
        <v>177</v>
      </c>
      <c r="C7" s="12" t="s">
        <v>175</v>
      </c>
      <c r="D7" s="12" t="s">
        <v>139</v>
      </c>
      <c r="E7" s="11" t="s">
        <v>172</v>
      </c>
      <c r="F7" s="11">
        <v>100</v>
      </c>
      <c r="G7" s="13"/>
      <c r="H7" s="13"/>
      <c r="I7" s="13"/>
      <c r="J7" s="13"/>
      <c r="K7" s="13"/>
      <c r="L7" s="11" t="s">
        <v>62</v>
      </c>
      <c r="M7" s="11"/>
      <c r="N7" s="14" t="s">
        <v>178</v>
      </c>
    </row>
    <row r="8" spans="1:14" ht="15" customHeight="1" x14ac:dyDescent="0.35">
      <c r="A8" s="15">
        <v>4</v>
      </c>
      <c r="B8" s="16" t="s">
        <v>179</v>
      </c>
      <c r="C8" s="16" t="s">
        <v>60</v>
      </c>
      <c r="D8" s="16" t="s">
        <v>135</v>
      </c>
      <c r="E8" s="15" t="s">
        <v>180</v>
      </c>
      <c r="F8" s="15">
        <v>100</v>
      </c>
      <c r="G8" s="13"/>
      <c r="H8" s="13"/>
      <c r="I8" s="13"/>
      <c r="J8" s="13"/>
      <c r="K8" s="13"/>
      <c r="L8" s="15" t="s">
        <v>62</v>
      </c>
      <c r="M8" s="17"/>
      <c r="N8" s="6" t="s">
        <v>181</v>
      </c>
    </row>
    <row r="9" spans="1:14" ht="15" customHeight="1" x14ac:dyDescent="0.35">
      <c r="A9" s="15">
        <v>5</v>
      </c>
      <c r="B9" s="16" t="s">
        <v>182</v>
      </c>
      <c r="C9" s="16" t="s">
        <v>60</v>
      </c>
      <c r="D9" s="16" t="s">
        <v>139</v>
      </c>
      <c r="E9" s="15" t="s">
        <v>180</v>
      </c>
      <c r="F9" s="15">
        <v>100</v>
      </c>
      <c r="G9" s="13"/>
      <c r="H9" s="13"/>
      <c r="I9" s="13"/>
      <c r="J9" s="13"/>
      <c r="K9" s="13"/>
      <c r="L9" s="15" t="s">
        <v>62</v>
      </c>
      <c r="M9" s="17"/>
      <c r="N9" s="6" t="s">
        <v>181</v>
      </c>
    </row>
    <row r="10" spans="1:14" ht="15" customHeight="1" x14ac:dyDescent="0.35">
      <c r="A10" s="15"/>
      <c r="B10" s="16"/>
      <c r="C10" s="16"/>
      <c r="D10" s="16"/>
      <c r="E10" s="15"/>
      <c r="F10" s="15"/>
      <c r="G10" s="13"/>
      <c r="H10" s="13"/>
      <c r="I10" s="13"/>
      <c r="J10" s="13"/>
      <c r="K10" s="13"/>
      <c r="L10" s="15"/>
      <c r="M10" s="15"/>
      <c r="N10" s="6"/>
    </row>
    <row r="11" spans="1:14" ht="15" customHeight="1" x14ac:dyDescent="0.35">
      <c r="A11" s="15"/>
      <c r="B11" s="16"/>
      <c r="C11" s="16"/>
      <c r="D11" s="16"/>
      <c r="E11" s="15"/>
      <c r="F11" s="15"/>
      <c r="G11" s="13"/>
      <c r="H11" s="13"/>
      <c r="I11" s="13"/>
      <c r="J11" s="13"/>
      <c r="K11" s="13"/>
      <c r="L11" s="15"/>
      <c r="M11" s="15"/>
      <c r="N11" s="6"/>
    </row>
    <row r="12" spans="1:14" ht="15" customHeight="1" x14ac:dyDescent="0.35">
      <c r="A12" s="15"/>
      <c r="B12" s="16"/>
      <c r="C12" s="16"/>
      <c r="D12" s="16"/>
      <c r="E12" s="15"/>
      <c r="F12" s="15"/>
      <c r="G12" s="13"/>
      <c r="H12" s="13"/>
      <c r="I12" s="13"/>
      <c r="J12" s="13"/>
      <c r="K12" s="13"/>
      <c r="L12" s="15"/>
      <c r="M12" s="15"/>
      <c r="N12" s="6"/>
    </row>
    <row r="13" spans="1:14" ht="15" customHeight="1" x14ac:dyDescent="0.35">
      <c r="A13" s="15"/>
      <c r="B13" s="16"/>
      <c r="C13" s="16"/>
      <c r="D13" s="16"/>
      <c r="E13" s="15"/>
      <c r="F13" s="15"/>
      <c r="G13" s="13"/>
      <c r="H13" s="13"/>
      <c r="I13" s="13"/>
      <c r="J13" s="13"/>
      <c r="K13" s="13"/>
      <c r="L13" s="15"/>
      <c r="M13" s="15"/>
      <c r="N13" s="6"/>
    </row>
    <row r="16" spans="1:14" ht="17.25" customHeight="1" x14ac:dyDescent="0.4">
      <c r="A16" s="1" t="s">
        <v>183</v>
      </c>
    </row>
    <row r="17" spans="1:9" ht="31.5" customHeight="1" x14ac:dyDescent="0.35">
      <c r="A17" s="3" t="s">
        <v>43</v>
      </c>
      <c r="B17" s="3" t="s">
        <v>184</v>
      </c>
      <c r="C17" s="3" t="s">
        <v>185</v>
      </c>
      <c r="D17" s="3" t="s">
        <v>186</v>
      </c>
      <c r="E17" s="3" t="s">
        <v>187</v>
      </c>
      <c r="F17" s="3" t="s">
        <v>188</v>
      </c>
      <c r="G17" s="3" t="s">
        <v>189</v>
      </c>
      <c r="H17" s="3" t="s">
        <v>190</v>
      </c>
      <c r="I17" s="3" t="s">
        <v>19</v>
      </c>
    </row>
    <row r="18" spans="1:9" ht="15" customHeight="1" x14ac:dyDescent="0.35">
      <c r="A18" s="15">
        <v>1</v>
      </c>
      <c r="B18" s="16" t="s">
        <v>191</v>
      </c>
      <c r="C18" s="16" t="s">
        <v>192</v>
      </c>
      <c r="D18" s="16" t="s">
        <v>40</v>
      </c>
      <c r="E18" s="13"/>
      <c r="F18" s="15" t="s">
        <v>193</v>
      </c>
      <c r="G18" s="17"/>
      <c r="H18" s="16" t="s">
        <v>194</v>
      </c>
      <c r="I18" s="16" t="s">
        <v>195</v>
      </c>
    </row>
    <row r="19" spans="1:9" ht="15" customHeight="1" x14ac:dyDescent="0.35">
      <c r="A19" s="15">
        <v>2</v>
      </c>
      <c r="B19" s="16" t="s">
        <v>196</v>
      </c>
      <c r="C19" s="16" t="s">
        <v>192</v>
      </c>
      <c r="D19" s="16" t="s">
        <v>108</v>
      </c>
      <c r="E19" s="13"/>
      <c r="F19" s="15" t="s">
        <v>193</v>
      </c>
      <c r="G19" s="17"/>
      <c r="H19" s="16" t="s">
        <v>194</v>
      </c>
      <c r="I19" s="16" t="s">
        <v>197</v>
      </c>
    </row>
    <row r="20" spans="1:9" ht="15" customHeight="1" x14ac:dyDescent="0.35">
      <c r="A20" s="15">
        <v>3</v>
      </c>
      <c r="B20" s="16" t="s">
        <v>198</v>
      </c>
      <c r="C20" s="16" t="s">
        <v>192</v>
      </c>
      <c r="D20" s="16" t="s">
        <v>122</v>
      </c>
      <c r="E20" s="13"/>
      <c r="F20" s="15" t="s">
        <v>193</v>
      </c>
      <c r="G20" s="17"/>
      <c r="H20" s="16" t="s">
        <v>194</v>
      </c>
      <c r="I20" s="16" t="s">
        <v>199</v>
      </c>
    </row>
    <row r="21" spans="1:9" ht="15" customHeight="1" x14ac:dyDescent="0.35">
      <c r="A21" s="15">
        <v>4</v>
      </c>
      <c r="B21" s="16" t="s">
        <v>200</v>
      </c>
      <c r="C21" s="16" t="s">
        <v>192</v>
      </c>
      <c r="D21" s="16" t="s">
        <v>119</v>
      </c>
      <c r="E21" s="13"/>
      <c r="F21" s="15" t="s">
        <v>193</v>
      </c>
      <c r="G21" s="17"/>
      <c r="H21" s="16" t="s">
        <v>194</v>
      </c>
      <c r="I21" s="16" t="s">
        <v>201</v>
      </c>
    </row>
    <row r="22" spans="1:9" ht="15" customHeight="1" x14ac:dyDescent="0.35">
      <c r="A22" s="15">
        <v>5</v>
      </c>
      <c r="B22" s="16" t="s">
        <v>202</v>
      </c>
      <c r="C22" s="16" t="s">
        <v>203</v>
      </c>
      <c r="D22" s="16" t="s">
        <v>108</v>
      </c>
      <c r="E22" s="13"/>
      <c r="F22" s="15" t="s">
        <v>193</v>
      </c>
      <c r="G22" s="17"/>
      <c r="H22" s="16" t="s">
        <v>204</v>
      </c>
      <c r="I22" s="16" t="s">
        <v>205</v>
      </c>
    </row>
    <row r="24" spans="1:9" ht="15" customHeight="1" x14ac:dyDescent="0.35">
      <c r="A24" s="2" t="s">
        <v>206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VLAN Summary</vt:lpstr>
      <vt:lpstr>VLAN 10 - End Devices</vt:lpstr>
      <vt:lpstr>VLAN 20 - Servers</vt:lpstr>
      <vt:lpstr>VLAN 30 - Security</vt:lpstr>
      <vt:lpstr>VLAN 99 - Management</vt:lpstr>
      <vt:lpstr>VLAN 100 - FW-NAT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akanksh chinnu</cp:lastModifiedBy>
  <cp:revision>0</cp:revision>
  <dcterms:created xsi:type="dcterms:W3CDTF">2026-10-08T05:57:28Z</dcterms:created>
  <dcterms:modified xsi:type="dcterms:W3CDTF">2026-10-14T07:17:30Z</dcterms:modified>
  <dc:language>en-US</dc:language>
</cp:coreProperties>
</file>